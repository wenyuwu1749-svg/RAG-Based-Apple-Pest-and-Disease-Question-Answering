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3"/>
    </font>
    <font>
      <name val="Calibri"/>
      <b val="1"/>
      <sz val="11"/>
    </font>
    <font>
      <name val="Calibri"/>
      <color theme="1"/>
      <sz val="11"/>
    </font>
    <font>
      <name val="Calibri"/>
      <color rgb="FF0563C1"/>
      <sz val="11"/>
    </font>
    <font>
      <name val="Calibri"/>
      <family val="2"/>
      <color theme="1"/>
      <sz val="11"/>
    </font>
  </fonts>
  <fills count="4">
    <fill>
      <patternFill/>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Review workbook (read-only reference; make changes in the question bank workbook)</t>
        </is>
      </c>
    </row>
    <row r="3">
      <c r="A3" t="inlineStr">
        <is>
          <t>One question per row. Left: question and reference answer; middle: cited passages and URLs; right: review columns.</t>
        </is>
      </c>
    </row>
    <row r="4">
      <c r="A4" t="inlineStr">
        <is>
          <t>Check the reference answer sentence by sentence against the cited passages; open the original URL for full context when needed.</t>
        </is>
      </c>
    </row>
    <row r="5">
      <c r="A5" t="inlineStr">
        <is>
          <t>Six checks, fill ✓ / ✗ / NA: 1 facts correct  2 numbers and units  3 qualifications kept  4 not beyond the source  5 required points sensible  6 question clear, no answer hints</t>
        </is>
      </c>
    </row>
    <row r="6">
      <c r="A6" t="inlineStr">
        <is>
          <t>"Other retrieved passages" lists passages in the top 6 of vector retrieval that are not cited: if consistent with the reference answer they may be added to chunk_ids; conflicts are recorded in the change notes.</t>
        </is>
      </c>
    </row>
    <row r="7">
      <c r="A7" t="inlineStr">
        <is>
          <t>For boundary questions, also confirm that the corpus really contains nothing that answers the "part to decline".</t>
        </is>
      </c>
    </row>
    <row r="8">
      <c r="A8" t="inlineStr">
        <is>
          <t>Review result: Passed / Passed after modification / Rejected. For "Passed after modification", describe the change and update the question bank accordingly (keep required_points consistent with the reference answer, version + 1).</t>
        </is>
      </c>
    </row>
    <row r="9">
      <c r="A9" t="inlineStr">
        <is>
          <t>The "Summary" sheet counts the results automatically, used in the report for the modification rate of LLM-drafted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4" customWidth="1" min="2" max="2"/>
    <col width="16" customWidth="1" min="3" max="3"/>
    <col width="10" customWidth="1" min="4" max="4"/>
    <col width="40" customWidth="1" min="5" max="5"/>
    <col width="55" customWidth="1" min="6" max="6"/>
    <col width="40" customWidth="1" min="7" max="7"/>
    <col width="30" customWidth="1" min="8" max="8"/>
    <col width="80" customWidth="1" min="10" max="10"/>
    <col width="30" customWidth="1" min="11" max="11"/>
    <col width="60" customWidth="1" min="12" max="12"/>
    <col width="7" customWidth="1" min="13" max="13"/>
    <col width="12" customWidth="1" min="19" max="19"/>
    <col width="40" customWidth="1" min="20" max="20"/>
    <col width="10" customWidth="1" min="21" max="21"/>
    <col width="9" customWidth="1" min="22" max="22"/>
  </cols>
  <sheetData>
    <row r="1">
      <c r="A1" s="2" t="inlineStr">
        <is>
          <t>question_id</t>
        </is>
      </c>
      <c r="B1" s="2" t="inlineStr">
        <is>
          <t>Question type</t>
        </is>
      </c>
      <c r="C1" s="2" t="inlineStr">
        <is>
          <t>Region</t>
        </is>
      </c>
      <c r="D1" s="2" t="inlineStr">
        <is>
          <t>Answerability</t>
        </is>
      </c>
      <c r="E1" s="2" t="inlineStr">
        <is>
          <t>Question</t>
        </is>
      </c>
      <c r="F1" s="2" t="inlineStr">
        <is>
          <t>Reference answer</t>
        </is>
      </c>
      <c r="G1" s="2" t="inlineStr">
        <is>
          <t>Required points</t>
        </is>
      </c>
      <c r="H1" s="2" t="inlineStr">
        <is>
          <t>Major errors</t>
        </is>
      </c>
      <c r="I1" s="2" t="inlineStr">
        <is>
          <t>Answerable / to decline</t>
        </is>
      </c>
      <c r="J1" s="2" t="inlineStr">
        <is>
          <t>Cited passages (text omitted)</t>
        </is>
      </c>
      <c r="K1" s="2" t="inlineStr">
        <is>
          <t>Original URL</t>
        </is>
      </c>
      <c r="L1" s="2" t="inlineStr">
        <is>
          <t>Other retrieved passages (text omitted)</t>
        </is>
      </c>
      <c r="M1" s="3" t="inlineStr">
        <is>
          <t>1 Facts correct</t>
        </is>
      </c>
      <c r="N1" s="3" t="inlineStr">
        <is>
          <t>2 Numbers and units</t>
        </is>
      </c>
      <c r="O1" s="3" t="inlineStr">
        <is>
          <t>3 Qualifications kept</t>
        </is>
      </c>
      <c r="P1" s="3" t="inlineStr">
        <is>
          <t>4 Not beyond the source</t>
        </is>
      </c>
      <c r="Q1" s="3" t="inlineStr">
        <is>
          <t>5 Required points sensible</t>
        </is>
      </c>
      <c r="R1" s="3" t="inlineStr">
        <is>
          <t>6 Question clear</t>
        </is>
      </c>
      <c r="S1" s="3" t="inlineStr">
        <is>
          <t>Review result</t>
        </is>
      </c>
      <c r="T1" s="3" t="inlineStr">
        <is>
          <t>Change notes</t>
        </is>
      </c>
      <c r="U1" s="3" t="inlineStr">
        <is>
          <t>Reviewer</t>
        </is>
      </c>
      <c r="V1" s="3" t="inlineStr">
        <is>
          <t>Time (minutes)</t>
        </is>
      </c>
    </row>
    <row r="2" ht="150" customHeight="1">
      <c r="A2" s="4" t="inlineStr">
        <is>
          <t>D002</t>
        </is>
      </c>
      <c r="B2" s="4" t="inlineStr">
        <is>
          <t>symptoms_identification</t>
        </is>
      </c>
      <c r="C2" s="4" t="inlineStr">
        <is>
          <t>unspecified</t>
        </is>
      </c>
      <c r="D2" s="4" t="inlineStr">
        <is>
          <t>answerable</t>
        </is>
      </c>
      <c r="E2" s="4" t="inlineStr">
        <is>
          <t>Some of my apples have a brown-black rotten spot with dark rings, and the rotten part stays firm. What is it and what should I do?</t>
        </is>
      </c>
      <c r="F2" s="4" t="inlineStr">
        <is>
          <t>The most likely cause is black rot (Botryosphaeria obtusa): usually one spot per fruit, often at the calyx end or a wound, with concentric dark and brown bands and firm, leathery flesh; the fruit later shrivels into a mummy. Bitter rot is the main look-alike: it tends to show several sunken spots, salmon-pink spore ooze, and a cone-shaped rot when cut, so cutting the fruit helps tell them apart. Management is mainly sanitation: prune out cankers and dead wood (Penn State: at least 15 inches below the canker), remove all mummified fruit, and keep trees healthy; captan and strobilurin (FRAC 11) fungicides are listed as effective on fruit.</t>
        </is>
      </c>
      <c r="G2" s="4" t="inlineStr">
        <is>
          <t>• identifies black rot as most likely
• distinguishes from bitter rot (one spot, not cone-shaped; bitter rot pink ooze, cone-shaped)
• sanitation: prune cankers/dead wood and remove mummified fruit
• fungicides mentioned only as support to sanitation, not as the main control</t>
        </is>
      </c>
      <c r="H2" s="4" t="inlineStr">
        <is>
          <t>• states a definitive diagnosis of bitter rot or apple scab
• confuses bitter rot with bitter pit
• recommends fungicides without sanitation</t>
        </is>
      </c>
      <c r="I2" s="4" t="inlineStr"/>
      <c r="J2" s="4" t="inlineStr">
        <is>
          <t>[S248:web:2 | Pome Fruit Disease - Black Rot and Frogeye Leaf Spot | Symptoms | United States - Pennsylvania | date June 26, 2024]
[S248:web:4 | Pome Fruit Disease - Black Rot and Frogeye Leaf Spot | Disease Management | United States - Pennsylvania | date June 26, 2024]
[S179:web:2 | Fact Sheet: Bitter Rot | What does bitter rot look like? | United States | date unknown]
[passage text omitted for copyright; see the chunk ids above and data/registers/source_register.json]</t>
        </is>
      </c>
      <c r="K2" s="5" t="inlineStr">
        <is>
          <t>https://extension.psu.edu/pome-fruit-disease-black-rot-and-frogeye-leaf-spot
https://blogs.cornell.edu/applevarietydatabase/fact-sheet-bitter-rot/</t>
        </is>
      </c>
      <c r="L2" s="4" t="inlineStr">
        <is>
          <t>Retrieval rank of cited passage: 6
#1 S001:web:1 (0.720)Apple Scab | Symptoms and Signs
#2 Pfad1d86df7e72095:p3:c1 (0.707)Apple Anthracnose | Apple anthracnose: symptoms, cycle and cultural management
#3 S212:web:2 (0.706)Apple Diseases - Fruit Rots, Control at Apple Harvest (and Postharvest) | Necrotic Leaf Blotch vs. Gomerella Leaf Spot
#4 S174:web:2 (0.704)Fact Sheet: Apple Scab | What does apple scab look like?
#5 S182:web:2 (0.704)Fact Sheet: Quince Rust | What does Quince Rust look like?
[passage text omitted for copyright; see the chunk ids above and data/registers/source_register.json]</t>
        </is>
      </c>
      <c r="M2" t="inlineStr">
        <is>
          <t>✓</t>
        </is>
      </c>
      <c r="N2" t="inlineStr">
        <is>
          <t>NA</t>
        </is>
      </c>
      <c r="O2" t="inlineStr">
        <is>
          <t>✓</t>
        </is>
      </c>
      <c r="P2" t="inlineStr">
        <is>
          <t>✓</t>
        </is>
      </c>
      <c r="Q2" t="inlineStr">
        <is>
          <t>✓</t>
        </is>
      </c>
      <c r="R2" t="inlineStr">
        <is>
          <t>✓</t>
        </is>
      </c>
      <c r="S2" t="inlineStr">
        <is>
          <t>Passed</t>
        </is>
      </c>
      <c r="T2" t="inlineStr">
        <is>
          <t>Evidence and answer are broadly consistent; key symptoms, identification and management points are clear.</t>
        </is>
      </c>
      <c r="U2" s="6" t="inlineStr">
        <is>
          <t>Dongyang Chen</t>
        </is>
      </c>
    </row>
    <row r="3" ht="150" customHeight="1">
      <c r="A3" s="4" t="inlineStr">
        <is>
          <t>D006</t>
        </is>
      </c>
      <c r="B3" s="4" t="inlineStr">
        <is>
          <t>symptoms_identification</t>
        </is>
      </c>
      <c r="C3" s="4" t="inlineStr">
        <is>
          <t>unspecified</t>
        </is>
      </c>
      <c r="D3" s="4" t="inlineStr">
        <is>
          <t>answerable</t>
        </is>
      </c>
      <c r="E3" s="4" t="inlineStr">
        <is>
          <t>Some blossom clusters and shoot tips on my Gala trees suddenly turned brown-black and bent over like a shepherd's crook. What could cause this and what should I do?</t>
        </is>
      </c>
      <c r="F3" s="4" t="inlineStr">
        <is>
          <t>This is the classic picture of fire blight (Erwinia amylovora): blossoms turn water-soaked, brown then black, shoot tips wilt into a shepherd's crook, dead leaves stay attached, and bacterial ooze may appear in humid weather. UC IPM notes Gala trees can be devastated. Bacterial blossom blast is a look-alike, but its infection usually stays at the base of the fruit cluster and bacterial ooze is never present with blast. Act promptly: cut out infected shoots well below the visible symptoms (New Zealand guidance: 45–60 cm below), disinfect pruning tools between every cut, and burn or bury the prunings; inspect the orchard frequently from bloom to midsummer, remove cankers during dormancy, and avoid lush growth from excess nitrogen. Blossom sprays (copper or antibiotics) are timed with infection-risk models; in New Zealand a fire blight model is available through Pipfruit NZ.</t>
        </is>
      </c>
      <c r="G3" s="4" t="inlineStr">
        <is>
          <t>• identifies fire blight (distinguishes blossom blast: no ooze, stays at cluster base)
• prompt removal of infected shoots well below symptoms (e.g. 45–60 cm) and destroying prunings
• disinfect pruning tools between cuts
• ongoing monitoring/canker removal; avoid excess vigour; blossom sprays timed with risk models</t>
        </is>
      </c>
      <c r="H3" s="4" t="inlineStr">
        <is>
          <t>• diagnoses a fungal disease and recommends only fungicides
• advises pruning without disinfecting tools
• advises leaving strikes until winter</t>
        </is>
      </c>
      <c r="I3" s="4" t="inlineStr"/>
      <c r="J3" s="4" t="inlineStr">
        <is>
          <t>[S002:web:1 | Fire Blight | Symptoms and Signs | United States - California | date Text Updated: 03/09; Treatment Table Updated: 10/15]
[S015:web:6 | Fire Blight of Apple and Pear | Shoot symptoms | United States - Pacific Northwest | date unknown]
[S265:web:1 | Fireblight | Damage | New Zealand | date unknown]
[S265:web:4 | Fireblight | Cultural control | New Zealand | date unknown]
[S265:web:5 | Fireblight | Cultural control | New Zealand | date unknown]
[S002:web:3 | Fire Blight | Management | United States - California | date Text Updated: 03/09; Treatment Table Updated: 10/15]
[S002:web:2 | Fire Blight | Comments on the Disease | United States - California | date Text Updated: 03/09; Treatment Table Updated: 10/15]
[S066:web:1 | Bacterial Blossom Blast | Symptoms and Signs | United States - California | date Text Updated: 03/09; Treatment Table Updated: 10/15]
[passage text omitted for copyright; see the chunk ids above and data/registers/source_register.json]</t>
        </is>
      </c>
      <c r="K3" s="5" t="inlineStr">
        <is>
          <t>https://ipm.ucanr.edu/agriculture/apple/fire-blight/
https://treefruit.wsu.edu/crop-protection/disease-management/fire-blight/
https://www.hortinfo.co.nz/textfiles/pdh219_59.htm
https://ipm.ucanr.edu/agriculture/apple/bacterial-blossom-blast/</t>
        </is>
      </c>
      <c r="L3" s="4" t="inlineStr">
        <is>
          <t>Retrieval rank of cited passage: 1
#1 S025:web:2 (0.688)Fact Sheet: Fire Blight | What does fire blight look like?
#2 S248:web:2 (0.687)Pome Fruit Disease - Black Rot and Frogeye Leaf Spot | Symptoms
[passage text omitted for copyright; see the chunk ids above and data/registers/source_register.json]</t>
        </is>
      </c>
      <c r="M3" t="inlineStr">
        <is>
          <t>✓</t>
        </is>
      </c>
      <c r="N3" t="inlineStr">
        <is>
          <t>NA</t>
        </is>
      </c>
      <c r="O3" t="inlineStr">
        <is>
          <t>✓</t>
        </is>
      </c>
      <c r="P3" t="inlineStr">
        <is>
          <t>✓</t>
        </is>
      </c>
      <c r="Q3" t="inlineStr">
        <is>
          <t>✓</t>
        </is>
      </c>
      <c r="R3" t="inlineStr">
        <is>
          <t>✓</t>
        </is>
      </c>
      <c r="S3" t="inlineStr">
        <is>
          <t>Passed</t>
        </is>
      </c>
      <c r="T3" t="inlineStr">
        <is>
          <t>Evidence and answer are broadly consistent; key symptoms, identification and management points are clear.</t>
        </is>
      </c>
      <c r="U3" s="6" t="inlineStr">
        <is>
          <t>Dongyang Chen</t>
        </is>
      </c>
    </row>
    <row r="4" ht="150" customHeight="1">
      <c r="A4" s="4" t="inlineStr">
        <is>
          <t>D008</t>
        </is>
      </c>
      <c r="B4" s="4" t="inlineStr">
        <is>
          <t>management_strategy</t>
        </is>
      </c>
      <c r="C4" s="4" t="inlineStr">
        <is>
          <t>unspecified</t>
        </is>
      </c>
      <c r="D4" s="4" t="inlineStr">
        <is>
          <t>answerable</t>
        </is>
      </c>
      <c r="E4" s="4" t="inlineStr">
        <is>
          <t>There are white fluffy cotton-like patches and lumpy swellings on the branches of my apple trees. What is it and how do I control it?</t>
        </is>
      </c>
      <c r="F4" s="4" t="inlineStr">
        <is>
          <t>This is woolly apple aphid: colonies covered in white wool-like wax on the bark, and galls (swellings) where they feed on twigs and roots; root colonies do the most damage and can stunt or kill young trees. Control relies first on natural enemies: the parasite Aphelinus mali can completely control aerial colonies, so avoid broad-spectrum sprays such as pyrethroids that kill it. A delayed-dormant application usually controls it, with summer treatment only if parasites are disrupted. For new plantings, resistant rootstocks (the Malling-Merton series such as MM.106 and MM.111, M.793, and several Geneva rootstocks) were developed to resist the aphid.</t>
        </is>
      </c>
      <c r="G4" s="4" t="inlineStr">
        <is>
          <t>• identifies woolly apple aphid (white waxy colonies, galls on wood/roots)
• conserve the parasite Aphelinus mali; avoid sprays toxic to natural enemies
• delayed-dormant treatment; summer spray only if biocontrol fails
• resistant rootstocks for new plantings</t>
        </is>
      </c>
      <c r="H4" s="4" t="inlineStr">
        <is>
          <t>• diagnoses powdery mildew or a scale disease
• recommends pyrethroids</t>
        </is>
      </c>
      <c r="I4" s="4" t="inlineStr"/>
      <c r="J4" s="4" t="inlineStr">
        <is>
          <t>[S012:web:1 | Woolly Apple Aphid | Description of the Pest | United States - California | date Text Updated: 01/11; Treatment Table Updated: 10/15]
[S020:web:6 | Woolly Apple Aphid | Damage | United States - Pacific Northwest | date by Elizabeth H. Beers, Stanley C. Hoyt, and Michael J. Willett, originally published 1993; revised March 2010 E. Beers; and June 2019 Robert J. Orpet.; revised March 2010]
[S012:web:5 | Woolly Apple Aphid | Biological Control | United States - California | date Text Updated: 01/11; Treatment Table Updated: 10/15]
[S012:web:7 | Woolly Apple Aphid | Treatment Decisions | United States - California | date Text Updated: 01/11; Treatment Table Updated: 10/15]
[S012:web:4 | Woolly Apple Aphid | Resistant Varieties/Rootstocks | United States - California | date Text Updated: 01/11; Treatment Table Updated: 10/15]
[passage text omitted for copyright; see the chunk ids above and data/registers/source_register.json]</t>
        </is>
      </c>
      <c r="K4" s="5" t="inlineStr">
        <is>
          <t>https://ipm.ucanr.edu/agriculture/apple/woolly-apple-aphid/
https://treefruit.wsu.edu/crop-protection/opm/woolly-apple-aphid/</t>
        </is>
      </c>
      <c r="L4" s="4" t="inlineStr">
        <is>
          <t>Retrieval rank of cited passage: 2
#1 S003:web:2 (0.753)Powdery Mildew | Comments on the Disease
#2 S185:web:2 (0.727)Fact Sheet: White Rot | What does White Rot look like?
#3 S001:web:1 (0.724)Apple Scab | Symptoms and Signs
#4 Pfad1d86df7e72095:p3:c1 (0.723)Apple Anthracnose | Apple anthracnose: symptoms, cycle and cultural management
#5 S250:web:2 (0.723)Pome Fruit Disease - Rust | Symptoms
[passage text omitted for copyright; see the chunk ids above and data/registers/source_register.json]</t>
        </is>
      </c>
      <c r="M4" t="inlineStr">
        <is>
          <t>✓</t>
        </is>
      </c>
      <c r="N4" t="inlineStr">
        <is>
          <t>NA</t>
        </is>
      </c>
      <c r="O4" t="inlineStr">
        <is>
          <t>✓</t>
        </is>
      </c>
      <c r="P4" t="inlineStr">
        <is>
          <t>✓</t>
        </is>
      </c>
      <c r="Q4" t="inlineStr">
        <is>
          <t>✓</t>
        </is>
      </c>
      <c r="R4" t="inlineStr">
        <is>
          <t>✓</t>
        </is>
      </c>
      <c r="S4" t="inlineStr">
        <is>
          <t>Passed</t>
        </is>
      </c>
      <c r="T4" t="inlineStr">
        <is>
          <t>Evidence and answer are broadly consistent; key symptoms, identification and management points are clear.</t>
        </is>
      </c>
      <c r="U4" s="6" t="inlineStr">
        <is>
          <t>Dongyang Chen</t>
        </is>
      </c>
    </row>
    <row r="5" ht="150" customHeight="1">
      <c r="A5" s="4" t="inlineStr">
        <is>
          <t>D011</t>
        </is>
      </c>
      <c r="B5" s="4" t="inlineStr">
        <is>
          <t>postharvest</t>
        </is>
      </c>
      <c r="C5" s="4" t="inlineStr">
        <is>
          <t>unspecified</t>
        </is>
      </c>
      <c r="D5" s="4" t="inlineStr">
        <is>
          <t>answerable</t>
        </is>
      </c>
      <c r="E5" s="4" t="inlineStr">
        <is>
          <t>Apples in storage have grey fuzzy mould starting at the stem, and it is spreading to the apples touching them. What should I do?</t>
        </is>
      </c>
      <c r="F5" s="4" t="inlineStr">
        <is>
          <t>This is gray mold (Botrytis): a brown, spongy to firm decay that often starts at the stem or calyx, later covered with fluffy white-grey mould, and that spreads from fruit to fruit (nesting) in storage, especially under high humidity. Most infections actually start in the orchard (at bloom or during the season) and stay latent until storage. To reduce it next season: remove decayed and mummified fruit and debris from the orchard, handle fruit to avoid punctures and bruises, harvest split-prone cultivars such as Gala and Honeycrisp at the right maturity, clip stems where needed, use clean bins, keep fruit cool after harvest, and ensure good fungicide coverage at harvest where it is used.</t>
        </is>
      </c>
      <c r="G5" s="4" t="inlineStr">
        <is>
          <t>• identifies gray mold
• fruit-to-fruit (nesting) spread in storage
• infections often begin in the orchard and stay latent
• orchard sanitation and careful harvest/handling to reduce wounds and splits</t>
        </is>
      </c>
      <c r="H5" s="4" t="inlineStr">
        <is>
          <t>• identifies it as blue mold
• states it does not spread between fruit</t>
        </is>
      </c>
      <c r="I5" s="4" t="inlineStr"/>
      <c r="J5" s="4" t="inlineStr">
        <is>
          <t>[S018:web:3 | Gray Mold | Symptoms | United States - Pacific Northwest | date 2020-04]
[S018:web:10 | Gray Mold | Infection and Life Cycle of the Organism | United States - Pacific Northwest | date 2020-04]
[S018:web:11 | Gray Mold | Cultural Controls | United States - Pacific Northwest | date 2020-04]
[Pac2f744e6d94a879:p34:c1 | Crop Profile for Apple in Canada, 2022 (Sixth Edition, 2023) | Post-Harvest Diseases: Blue Mold (Penicillium expansum and other
[S212:web:4 | Apple Diseases - Fruit Rots, Control at Apple Harvest (and Postharvest) | Minimizing Postharvest Fruit Rots | United States - Pennsylvania | date June 29, 2026]
[passage text omitted for copyright; see the chunk ids above and data/registers/source_register.json]</t>
        </is>
      </c>
      <c r="K5" s="5" t="inlineStr">
        <is>
          <t>https://treefruit.wsu.edu/crop-protection/disease-management/gray-mold/
https://publications.gc.ca/collections/collection_2023/aac-aafc/A118-10-7-2022-eng.pdf
https://extension.psu.edu/apple-diseases-fruit-rots-control-at-apple-harvest-and-postharvest</t>
        </is>
      </c>
      <c r="L5" s="4" t="inlineStr">
        <is>
          <t>Retrieval rank of cited passage: 2
#1 S018:web:1 (0.764)Gray Mold | Overview
#2 P32845825ad7b835f:p1:c1 (0.743)Gray Mold | Gray Mold: overview and symptoms
#3 S018:web:4 (0.724)Gray Mold | Figure 1. Symptoms and signs of gray mold (Botrytis cinerea) on apples and pears. Photo credit: Achour Amiri (WSU-TFREC) and Chang-Lin Xiao (USDA-ARS).
#4 P32845825ad7b835f:p1:c2 (0.720)Gray Mold | Gray Mold: overview and symptoms
[passage text omitted for copyright; see the chunk ids above and data/registers/source_register.json]</t>
        </is>
      </c>
      <c r="M5" t="inlineStr">
        <is>
          <t>✓</t>
        </is>
      </c>
      <c r="N5" t="inlineStr">
        <is>
          <t>NA</t>
        </is>
      </c>
      <c r="O5" t="inlineStr">
        <is>
          <t>✓</t>
        </is>
      </c>
      <c r="P5" t="inlineStr">
        <is>
          <t>✓</t>
        </is>
      </c>
      <c r="Q5" t="inlineStr">
        <is>
          <t>✓</t>
        </is>
      </c>
      <c r="R5" t="inlineStr">
        <is>
          <t>✓</t>
        </is>
      </c>
      <c r="S5" t="inlineStr">
        <is>
          <t>Passed</t>
        </is>
      </c>
      <c r="T5" t="inlineStr">
        <is>
          <t>Evidence and answer are broadly consistent; key symptoms, identification and management points are clear.</t>
        </is>
      </c>
      <c r="U5" s="6" t="inlineStr">
        <is>
          <t>Dongyang Chen</t>
        </is>
      </c>
    </row>
    <row r="6" ht="150" customHeight="1">
      <c r="A6" s="4" t="inlineStr">
        <is>
          <t>D015</t>
        </is>
      </c>
      <c r="B6" s="4" t="inlineStr">
        <is>
          <t>postharvest</t>
        </is>
      </c>
      <c r="C6" s="4" t="inlineStr">
        <is>
          <t>unspecified</t>
        </is>
      </c>
      <c r="D6" s="4" t="inlineStr">
        <is>
          <t>answerable</t>
        </is>
      </c>
      <c r="E6" s="4" t="inlineStr">
        <is>
          <t>During a wet harvest our bins sat on the orchard floor. Now apples in cold storage are going soft and watery and rotting very fast, and the postharvest fungicide we used did not help. What is going on?</t>
        </is>
      </c>
      <c r="F6" s="4" t="inlineStr">
        <is>
          <t>The details point to Mucor rot, with blue mold as the main alternative. Mucor piriformis lives in orchard soil and debris, and infections occur mainly when bins contact infested soil or are not cleaned; fruit harvested in wet weather is more susceptible; and none of the current pre- or postharvest fungicides are effective against it, which fits your experience. Mucor rot decays fruit very fast even in cold storage (complete decay in under two months at 0°C); the tissue is very soft and juicy, has a sweet smell, and may show coarse white-grey mould with dark pinhead spore heads. Blue mold is medium-soft and watery, starts at wounds or bruises, has a musty smell and blue-green spores, and leaves a bowl-like cavity. Prevention: Mucor comes from orchard soil and dirty bins, and current fungicides do not control it, so remove fallen fruit and debris, position bins to minimise soil contamination of their undersides and brush the undersides clean, never put dropped fruit in bins, sanitise bins, rooms and packing lines, and harvest in dry weather. Blue mold is reduced by careful handling to avoid wounds and by sanitising rooms, bins and packing lines.</t>
        </is>
      </c>
      <c r="G6" s="4" t="inlineStr">
        <is>
          <t>• identifies Mucor rot as most likely, linking bins on soil, wet harvest and fungicide failure
• distinguishes from blue mold (sweet vs musty smell, texture, spores)
• Mucor rots fast even at 0°C and is not controlled by current fungicides
• sanitation of bins, rooms and packing line; minimise soil on bin undersides; do not put dropped fruit in bins
• minimise wounds and bruising at harvest</t>
        </is>
      </c>
      <c r="H6" s="4" t="inlineStr">
        <is>
          <t>• says lowering storage temperature alone will stop it
• recommends a postharvest fungicide as the solution for Mucor</t>
        </is>
      </c>
      <c r="I6" s="4" t="inlineStr"/>
      <c r="J6" s="4" t="inlineStr">
        <is>
          <t>[S074:web:3 | Mucor Rot | Symptoms | United States - Pacific Northwest | date By Achour Amiri and Keith van den Broek, WSU Plant Pathology. Updated February 2020. Downloadable pdf Mucor; Updated February 2020]
[S074:web:10 | Mucor Rot | Infection and Disease Cycle | United States - Pacific Northwest | date By Achour Amiri and Keith van den Broek, WSU Plant Pathology. Updated February 2020. Downloadable pdf Mucor; Updated February 2020]
[S074:web:11 | Mucor Rot | Controls | United States - Pacific Northwest | date By Achour Amiri and Keith van den Broek, WSU Plant Pathology. Updated February 2020. Downloadable pdf Mucor; Updated February 2020]
[S017:web:3 | Blue Mold | Symptoms | United States - Pacific Northwest | date 2020-04]
[S017:web:11 | Blue Mold | Cultural Controls | United States - Pacific Northwest | date 2020-04]
[S180:web:1 | Fact Sheet: Blue Mold | What is blue mold? | United States | date unknown]
[passage text omitted for copyright; see the chunk ids above and data/registers/source_register.json]</t>
        </is>
      </c>
      <c r="K6" s="5" t="inlineStr">
        <is>
          <t>https://treefruit.wsu.edu/crop-protection/disease-management/mucor-rot/
https://treefruit.wsu.edu/crop-protection/disease-management/blue-mold/
https://blogs.cornell.edu/applevarietydatabase/fact-sheet-blue-mold/</t>
        </is>
      </c>
      <c r="L6" s="4" t="inlineStr">
        <is>
          <t>cited passage not in the top 6
#1 P1238bed29496c60c:p7:c3 (0.808)The incidence of storage rots after postharvest apple washing | Discussion/conclusion – dated experimental context
#2 P1238bed29496c60c:p1:c1 (0.806)The incidence of storage rots after postharvest apple washing | Abstract – dated research findings
#3 P1238bed29496c60c:p1:c2 (0.799)The incidence of storage rots after postharvest apple washing | Abstract – dated research findings
#4 P1238bed29496c60c:p7:c1 (0.797)The incidence of storage rots after postharvest apple washing | Discussion/conclusion – dated experimental context
#5 P1238bed29496c60c:p7:c2 (0.789)The incidence of storage rots after postharvest apple washing | Discussion/conclusion – dated experimental context
#6 S208:web:4 (0.772)Apple Disease - Core Rot | Disease Management
[passage text omitted for copyright; see the chunk ids above and data/registers/source_register.json]</t>
        </is>
      </c>
      <c r="M6" t="inlineStr">
        <is>
          <t>✓</t>
        </is>
      </c>
      <c r="N6" t="inlineStr">
        <is>
          <t>NA</t>
        </is>
      </c>
      <c r="O6" t="inlineStr">
        <is>
          <t>✓</t>
        </is>
      </c>
      <c r="P6" t="inlineStr">
        <is>
          <t>✓</t>
        </is>
      </c>
      <c r="Q6" t="inlineStr">
        <is>
          <t>✓</t>
        </is>
      </c>
      <c r="R6" t="inlineStr">
        <is>
          <t>✓</t>
        </is>
      </c>
      <c r="S6" t="inlineStr">
        <is>
          <t>Passed</t>
        </is>
      </c>
      <c r="T6" t="inlineStr">
        <is>
          <t>Evidence and answer are broadly consistent; key symptoms, identification and management points are clear.</t>
        </is>
      </c>
      <c r="U6" s="6" t="inlineStr">
        <is>
          <t>Dongyang Chen</t>
        </is>
      </c>
    </row>
    <row r="7" ht="150" customHeight="1">
      <c r="A7" s="4" t="inlineStr">
        <is>
          <t>D018</t>
        </is>
      </c>
      <c r="B7" s="4" t="inlineStr">
        <is>
          <t>boundary_insufficient</t>
        </is>
      </c>
      <c r="C7" s="4" t="inlineStr">
        <is>
          <t>New Zealand</t>
        </is>
      </c>
      <c r="D7" s="4" t="inlineStr">
        <is>
          <t>partial</t>
        </is>
      </c>
      <c r="E7" s="4" t="inlineStr">
        <is>
          <t>I'm planting a new apple block in New Zealand. Which rootstock should I use to avoid woolly aphid?</t>
        </is>
      </c>
      <c r="F7" s="4" t="inlineStr">
        <is>
          <t>The evidence has no New Zealand rootstock trials or recommendations for woolly apple aphid. Overseas sources report resistant rootstocks: the Malling-Merton series (MM.106, MM.111), the Merton 793 selection, which WSU notes is commonly used in the southern hemisphere, and several Geneva rootstocks (e.g. G.41, G.202, G.969), which WSU says appear more resistant than the Malling-Merton series. WSU also cautions that resistant rootstocks mainly protect the roots and their effect on aerial colonies is unknown. Rootstock choice also affects other diseases (e.g. MM.106 is more susceptible to Phytophthora). These points should be attributed to overseas sources, not presented as New Zealand-verified advice.</t>
        </is>
      </c>
      <c r="G7" s="4" t="inlineStr">
        <is>
          <t>• does not claim the rootstock advice is verified for New Zealand (suggests checking locally)
• names resistant rootstocks (MM.106, MM.111, M.793, Geneva series)
• notes resistance protects roots; effect on aerial colonies uncertain
• does not present overseas advice as NZ-verified</t>
        </is>
      </c>
      <c r="H7" s="4" t="inlineStr">
        <is>
          <t>• presents overseas rootstocks as an NZ-verified recommendation
• claims resistant rootstocks prevent aerial colonies
• names a rootstock known to be susceptible as resistant</t>
        </is>
      </c>
      <c r="I7" s="4" t="inlineStr">
        <is>
          <t>Answerable: overseas resistant rootstocks and their uncertainty; qualify: not validated in New Zealand; reason: the corpus has no New Zealand rootstock trial</t>
        </is>
      </c>
      <c r="J7" s="4" t="inlineStr">
        <is>
          <t>[S020:web:6 | Woolly Apple Aphid | Damage | United States - Pacific Northwest | date by Elizabeth H. Beers, Stanley C. Hoyt, and Michael J. Willett, originally published 1993; revised March 2010 E. Beers; and June 2019 Robert J. Orpet.; revised March 2010]
[S020:web:10 | Woolly Apple Aphid | Management | United States - Pacific Northwest | date by Elizabeth H. Beers, Stanley C. Hoyt, and Michael J. Willett, originally published 1993; revised March 2010 E. Beers; and June 2019 Robert J. Orpet.; revised March 2010]
[S012:web:4 | Woolly Apple Aphid | Resistant Varieties/Rootstocks | United States - California | date Text Updated: 01/11; Treatment Table Updated: 10/15]
[S244:web:6 | Tree Fruit Insect Pest - Woolly Apple Aphid | Cultural Control | United States - Pennsylvania | date January 5, 2024]
[S005:web:2 | Phytophthora Root and Crown Rot | Management | United States - California | date Text Updated: 03/09; Treatment Table Updated: 10/15]
[passage text omitted for copyright; see the chunk ids above and data/registers/source_register.json]</t>
        </is>
      </c>
      <c r="K7" s="5" t="inlineStr">
        <is>
          <t>https://treefruit.wsu.edu/crop-protection/opm/woolly-apple-aphid/
https://ipm.ucanr.edu/agriculture/apple/woolly-apple-aphid/
https://extension.psu.edu/tree-fruit-insect-pest-woolly-apple-aphid
https://ipm.ucanr.edu/agriculture/apple/phytophthora-root-and-crown-rot/</t>
        </is>
      </c>
      <c r="L7" s="4" t="inlineStr">
        <is>
          <t>Retrieval rank of cited passage: 1
#1 S015:web:10 (0.751)Fire Blight of Apple and Pear | Plant on resistant rootstock
#2 Pc857494577bd34fb:p5:c2 (0.746)Apple IPM for Beginners | Introduction
#3 S244:web:1 (0.743)Tree Fruit Insect Pest - Woolly Apple Aphid | Overview
[passage text omitted for copyright; see the chunk ids above and data/registers/source_register.json]</t>
        </is>
      </c>
      <c r="M7" t="inlineStr">
        <is>
          <t>✓</t>
        </is>
      </c>
      <c r="N7" t="inlineStr">
        <is>
          <t>NA</t>
        </is>
      </c>
      <c r="O7" t="inlineStr">
        <is>
          <t>✗</t>
        </is>
      </c>
      <c r="P7" t="inlineStr">
        <is>
          <t>✓</t>
        </is>
      </c>
      <c r="Q7" t="inlineStr">
        <is>
          <t>✓</t>
        </is>
      </c>
      <c r="R7" t="inlineStr">
        <is>
          <t>✓</t>
        </is>
      </c>
      <c r="S7" t="inlineStr">
        <is>
          <t>Passed after modification</t>
        </is>
      </c>
      <c r="T7" t="inlineStr">
        <is>
          <t>State that the rootstock aphid-resistance material comes from overseas research and that rootstock choice still needs checking with local nurseries and for local suitability. Re-check whether the original corpus contains material for the part to decline; the current excerpts do not prove that the whole corpus lacks such evidence.</t>
        </is>
      </c>
      <c r="U7" s="6" t="inlineStr">
        <is>
          <t>Dongyang Chen</t>
        </is>
      </c>
    </row>
    <row r="8" ht="150" customHeight="1">
      <c r="A8" s="4" t="inlineStr">
        <is>
          <t>D020</t>
        </is>
      </c>
      <c r="B8" s="4" t="inlineStr">
        <is>
          <t>symptoms_identification</t>
        </is>
      </c>
      <c r="C8" s="4" t="inlineStr">
        <is>
          <t>unspecified</t>
        </is>
      </c>
      <c r="D8" s="4" t="inlineStr">
        <is>
          <t>answerable</t>
        </is>
      </c>
      <c r="E8" s="4" t="inlineStr">
        <is>
          <t>Some young apples have purplish raised patches near the bottom end and are growing misshapen, and when I cut them the inside is brown and spongy right to the core. What is this?</t>
        </is>
      </c>
      <c r="F8" s="4" t="inlineStr">
        <is>
          <t>This matches quince rust (Gymnosporangium clavipes): purple raised lesions on the side or calyx end of young fruit, which grow into a dark green-purple distortion, with spongy brown rust tissue reaching the core; infected fruitlets may drop, and rust-coloured spore tubes can appear near the calyx. Cedar-apple rust is the main look-alike, but its fruit lesions are superficial and it also spots the leaves, while quince rust infects only the fruit and reaches the core. Quince rust needs a juniper/red cedar alternate host, so check for nearby junipers or cedars (and hawthorn or quince). Infection happens in spring between tight cluster and petal fall during wet periods over 48 hours above about 10°C (50°F). Once lesions are visible it is too late to control them this season; for the future remove alternate hosts nearby. Penn State spray guidance (mancozeb and FRAC 3 from pink bud) is written for cedar-apple rust; because quince rust infects from tight cluster, the evidence does not give a specific quince-rust spray timing. Cultivar resistance differs between rust species (McIntosh resists cedar-apple rust but not quince rust).</t>
        </is>
      </c>
      <c r="G8" s="4" t="inlineStr">
        <is>
          <t>• identifies quince rust
• distinguishes from cedar-apple rust (superficial fruit lesions, leaf spots) vs quince rust reaching the core
• alternate host juniper/red cedar: check and remove nearby hosts
• too late once lesions appear; infection window is tight cluster to petal fall in long wet periods; does not present cedar-apple rust spray timing as quince-rust advice</t>
        </is>
      </c>
      <c r="H8" s="4" t="inlineStr">
        <is>
          <t>• diagnoses a storage rot or codling moth
• recommends spraying now to cure visible lesions
• presents the cedar-apple rust pink-bud spray schedule as quince-rust advice</t>
        </is>
      </c>
      <c r="I8" s="4" t="inlineStr"/>
      <c r="J8" s="4" t="inlineStr">
        <is>
          <t>[S182:web:1 | Fact Sheet: Quince Rust | What is Quince Rust? | United States | date unknown]
[S182:web:2 | Fact Sheet: Quince Rust | What does Quince Rust look like? | United States | date unknown]
[S182:web:3 | Fact Sheet: Quince Rust | Where does Quince Rust come from? | United States | date unknown]
[S182:web:4 | Fact Sheet: Quince Rust | How do I prevent and control Quince Rust? | United States | date unknown]
[S250:web:2 | Pome Fruit Disease - Rust | Symptoms | United States - Pennsylvania | date June 26, 2024]
[S250:web:3 | Pome Fruit Disease - Rust | Disease cycle | United States - Pennsylvania | date June 26, 2024]
[S250:web:4 | Pome Fruit Disease - Rust | Disease management | United States - Pennsylvania | date June 26, 2024]
[passage text omitted for copyright; see the chunk ids above and data/registers/source_register.json]</t>
        </is>
      </c>
      <c r="K8" s="5" t="inlineStr">
        <is>
          <t>https://blogs.cornell.edu/applevarietydatabase/fact-sheet-quince-rust/
https://extension.psu.edu/pome-fruit-disease-rust</t>
        </is>
      </c>
      <c r="L8" s="4" t="inlineStr">
        <is>
          <t>Retrieval rank of cited passage: 5
#1 S001:web:1 (0.779)Apple Scab | Symptoms and Signs
#2 S174:web:2 (0.767)Fact Sheet: Apple Scab | What does apple scab look like?
#3 S208:web:2 (0.753)Apple Disease - Core Rot | Symptoms
#4 S211:web:2 (0.751)Apple Disease: Moldy Core | Symptoms
#5 S211:web:1 (0.740)Apple Disease: Moldy Core | Overview
[passage text omitted for copyright; see the chunk ids above and data/registers/source_register.json]</t>
        </is>
      </c>
      <c r="M8" t="inlineStr">
        <is>
          <t>✓</t>
        </is>
      </c>
      <c r="N8" t="inlineStr">
        <is>
          <t>NA</t>
        </is>
      </c>
      <c r="O8" t="inlineStr">
        <is>
          <t>✓</t>
        </is>
      </c>
      <c r="P8" t="inlineStr">
        <is>
          <t>✓</t>
        </is>
      </c>
      <c r="Q8" t="inlineStr">
        <is>
          <t>✓</t>
        </is>
      </c>
      <c r="R8" t="inlineStr">
        <is>
          <t>✓</t>
        </is>
      </c>
      <c r="S8" t="inlineStr">
        <is>
          <t>Passed</t>
        </is>
      </c>
      <c r="T8" t="inlineStr">
        <is>
          <t>Evidence and answer are broadly consistent; key symptoms, identification and management points are clear.</t>
        </is>
      </c>
      <c r="U8" s="6" t="inlineStr">
        <is>
          <t>Dongyang Chen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s>
  <sheetData>
    <row r="1">
      <c r="A1" t="inlineStr">
        <is>
          <t>Reviewer</t>
        </is>
      </c>
      <c r="B1" t="inlineStr">
        <is>
          <t>Dongyang Chen</t>
        </is>
      </c>
    </row>
    <row r="2">
      <c r="A2" t="inlineStr">
        <is>
          <t>Questions</t>
        </is>
      </c>
      <c r="B2" t="n">
        <v>7</v>
      </c>
    </row>
    <row r="3">
      <c r="A3" t="inlineStr">
        <is>
          <t>Passed</t>
        </is>
      </c>
      <c r="B3">
        <f>COUNTIF(Review!S2:S8,"Passed")</f>
        <v/>
      </c>
    </row>
    <row r="4">
      <c r="A4" t="inlineStr">
        <is>
          <t>Passed after modification</t>
        </is>
      </c>
      <c r="B4">
        <f>COUNTIF(Review!S2:S8,"Passed after modification")</f>
        <v/>
      </c>
    </row>
    <row r="5">
      <c r="A5" t="inlineStr">
        <is>
          <t>Rejected</t>
        </is>
      </c>
      <c r="B5">
        <f>COUNTIF(Review!S2:S8,"Rejected")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2026-10-23T03:38:13Z</dcterms:created>
  <dcterms:modified xmlns:dcterms="http://purl.org/dc/terms/" xmlns:xsi="http://www.w3.org/2001/XMLSchema-instance" xsi:type="dcterms:W3CDTF">2026-10-30T01:57:52Z</dcterms:modified>
</cp:coreProperties>
</file>