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3040" windowHeight="9060" tabRatio="600" firstSheet="0" activeTab="0" autoFilterDateGrouping="1"/>
  </bookViews>
  <sheets>
    <sheet xmlns:r="http://schemas.openxmlformats.org/officeDocument/2006/relationships" name="Review" sheetId="1" state="visible" r:id="rId1"/>
    <sheet xmlns:r="http://schemas.openxmlformats.org/officeDocument/2006/relationships" name="Summary" sheetId="2" state="visible" r:id="rId2"/>
  </sheets>
  <definedNames/>
  <calcPr calcId="191029" fullCalcOnLoad="1"/>
</workbook>
</file>

<file path=xl/styles.xml><?xml version="1.0" encoding="utf-8"?>
<styleSheet xmlns="http://schemas.openxmlformats.org/spreadsheetml/2006/main">
  <numFmts count="0"/>
  <fonts count="29">
    <font>
      <name val="宋体"/>
      <charset val="134"/>
      <color theme="1"/>
      <sz val="11"/>
      <scheme val="minor"/>
    </font>
    <font>
      <name val="Times New Roman"/>
      <charset val="134"/>
      <color theme="1"/>
      <sz val="11"/>
    </font>
    <font>
      <name val="Times New Roman"/>
      <charset val="134"/>
      <b val="1"/>
      <sz val="11"/>
    </font>
    <font>
      <name val="Times New Roman"/>
      <charset val="134"/>
      <color theme="1"/>
      <sz val="11"/>
    </font>
    <font>
      <name val="Times New Roman"/>
      <charset val="134"/>
      <color rgb="FF0563C1"/>
      <sz val="11"/>
      <u val="single"/>
    </font>
    <font>
      <name val="Times New Roman"/>
      <charset val="134"/>
      <color rgb="FF0563C1"/>
      <sz val="11"/>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color theme="1"/>
      <sz val="11"/>
    </font>
    <font>
      <name val="宋体"/>
      <charset val="134"/>
      <color theme="1"/>
      <sz val="11"/>
    </font>
    <font>
      <name val="宋体"/>
      <charset val="134"/>
      <b val="1"/>
      <sz val="11"/>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6" fillId="0" borderId="0"/>
    <xf numFmtId="43" fontId="6" fillId="0" borderId="0" applyAlignment="1">
      <alignment vertical="center"/>
    </xf>
    <xf numFmtId="44" fontId="6" fillId="0" borderId="0" applyAlignment="1">
      <alignment vertical="center"/>
    </xf>
    <xf numFmtId="9" fontId="6" fillId="0" borderId="0" applyAlignment="1">
      <alignment vertical="center"/>
    </xf>
    <xf numFmtId="41" fontId="6" fillId="0" borderId="0" applyAlignment="1">
      <alignment vertical="center"/>
    </xf>
    <xf numFmtId="42" fontId="6" fillId="0" borderId="0" applyAlignment="1">
      <alignment vertical="center"/>
    </xf>
    <xf numFmtId="0" fontId="7" fillId="0" borderId="0" applyAlignment="1">
      <alignment vertical="center"/>
    </xf>
    <xf numFmtId="0" fontId="8" fillId="0" borderId="0" applyAlignment="1">
      <alignment vertical="center"/>
    </xf>
    <xf numFmtId="0" fontId="6" fillId="2" borderId="4" applyAlignment="1">
      <alignment vertical="center"/>
    </xf>
    <xf numFmtId="0" fontId="9" fillId="0" borderId="0" applyAlignment="1">
      <alignment vertical="center"/>
    </xf>
    <xf numFmtId="0" fontId="10" fillId="0" borderId="0" applyAlignment="1">
      <alignment vertical="center"/>
    </xf>
    <xf numFmtId="0" fontId="11" fillId="0" borderId="0" applyAlignment="1">
      <alignment vertical="center"/>
    </xf>
    <xf numFmtId="0" fontId="12" fillId="0" borderId="5" applyAlignment="1">
      <alignment vertical="center"/>
    </xf>
    <xf numFmtId="0" fontId="13" fillId="0" borderId="5" applyAlignment="1">
      <alignment vertical="center"/>
    </xf>
    <xf numFmtId="0" fontId="14" fillId="0" borderId="6" applyAlignment="1">
      <alignment vertical="center"/>
    </xf>
    <xf numFmtId="0" fontId="14" fillId="0" borderId="0" applyAlignment="1">
      <alignment vertical="center"/>
    </xf>
    <xf numFmtId="0" fontId="15" fillId="3" borderId="7" applyAlignment="1">
      <alignment vertical="center"/>
    </xf>
    <xf numFmtId="0" fontId="16" fillId="4" borderId="8" applyAlignment="1">
      <alignment vertical="center"/>
    </xf>
    <xf numFmtId="0" fontId="17" fillId="4" borderId="7" applyAlignment="1">
      <alignment vertical="center"/>
    </xf>
    <xf numFmtId="0" fontId="18" fillId="5" borderId="9" applyAlignment="1">
      <alignment vertical="center"/>
    </xf>
    <xf numFmtId="0" fontId="19" fillId="0" borderId="10" applyAlignment="1">
      <alignment vertical="center"/>
    </xf>
    <xf numFmtId="0" fontId="20" fillId="0" borderId="11" applyAlignment="1">
      <alignment vertical="center"/>
    </xf>
    <xf numFmtId="0" fontId="21" fillId="6" borderId="0" applyAlignment="1">
      <alignment vertical="center"/>
    </xf>
    <xf numFmtId="0" fontId="22" fillId="7" borderId="0" applyAlignment="1">
      <alignment vertical="center"/>
    </xf>
    <xf numFmtId="0" fontId="23" fillId="8" borderId="0" applyAlignment="1">
      <alignment vertical="center"/>
    </xf>
    <xf numFmtId="0" fontId="24" fillId="9" borderId="0" applyAlignment="1">
      <alignment vertical="center"/>
    </xf>
    <xf numFmtId="0" fontId="25" fillId="10" borderId="0" applyAlignment="1">
      <alignment vertical="center"/>
    </xf>
    <xf numFmtId="0" fontId="25" fillId="11" borderId="0" applyAlignment="1">
      <alignment vertical="center"/>
    </xf>
    <xf numFmtId="0" fontId="24" fillId="12" borderId="0" applyAlignment="1">
      <alignment vertical="center"/>
    </xf>
    <xf numFmtId="0" fontId="24" fillId="13" borderId="0" applyAlignment="1">
      <alignment vertical="center"/>
    </xf>
    <xf numFmtId="0" fontId="25" fillId="14" borderId="0" applyAlignment="1">
      <alignment vertical="center"/>
    </xf>
    <xf numFmtId="0" fontId="25" fillId="15" borderId="0" applyAlignment="1">
      <alignment vertical="center"/>
    </xf>
    <xf numFmtId="0" fontId="24" fillId="16" borderId="0" applyAlignment="1">
      <alignment vertical="center"/>
    </xf>
    <xf numFmtId="0" fontId="24" fillId="17" borderId="0" applyAlignment="1">
      <alignment vertical="center"/>
    </xf>
    <xf numFmtId="0" fontId="25" fillId="18" borderId="0" applyAlignment="1">
      <alignment vertical="center"/>
    </xf>
    <xf numFmtId="0" fontId="25" fillId="19" borderId="0" applyAlignment="1">
      <alignment vertical="center"/>
    </xf>
    <xf numFmtId="0" fontId="24" fillId="20" borderId="0" applyAlignment="1">
      <alignment vertical="center"/>
    </xf>
    <xf numFmtId="0" fontId="24" fillId="21" borderId="0" applyAlignment="1">
      <alignment vertical="center"/>
    </xf>
    <xf numFmtId="0" fontId="25" fillId="22" borderId="0" applyAlignment="1">
      <alignment vertical="center"/>
    </xf>
    <xf numFmtId="0" fontId="25" fillId="23" borderId="0" applyAlignment="1">
      <alignment vertical="center"/>
    </xf>
    <xf numFmtId="0" fontId="24" fillId="24" borderId="0" applyAlignment="1">
      <alignment vertical="center"/>
    </xf>
    <xf numFmtId="0" fontId="24" fillId="25" borderId="0" applyAlignment="1">
      <alignment vertical="center"/>
    </xf>
    <xf numFmtId="0" fontId="25" fillId="26" borderId="0" applyAlignment="1">
      <alignment vertical="center"/>
    </xf>
    <xf numFmtId="0" fontId="25" fillId="27" borderId="0" applyAlignment="1">
      <alignment vertical="center"/>
    </xf>
    <xf numFmtId="0" fontId="24" fillId="28" borderId="0" applyAlignment="1">
      <alignment vertical="center"/>
    </xf>
    <xf numFmtId="0" fontId="24" fillId="29" borderId="0" applyAlignment="1">
      <alignment vertical="center"/>
    </xf>
    <xf numFmtId="0" fontId="25" fillId="30" borderId="0" applyAlignment="1">
      <alignment vertical="center"/>
    </xf>
    <xf numFmtId="0" fontId="25" fillId="31" borderId="0" applyAlignment="1">
      <alignment vertical="center"/>
    </xf>
    <xf numFmtId="0" fontId="24" fillId="32" borderId="0" applyAlignment="1">
      <alignment vertical="center"/>
    </xf>
  </cellStyleXfs>
  <cellXfs count="20">
    <xf numFmtId="0" fontId="0" fillId="0" borderId="0" pivotButton="0" quotePrefix="0" xfId="0"/>
    <xf numFmtId="0" fontId="1" fillId="0" borderId="0" pivotButton="0" quotePrefix="0" xfId="0"/>
    <xf numFmtId="0" fontId="1" fillId="0" borderId="0" pivotButton="0" quotePrefix="0" xfId="0"/>
    <xf numFmtId="0" fontId="1" fillId="0" borderId="0" pivotButton="0" quotePrefix="0" xfId="0"/>
    <xf numFmtId="0" fontId="2" fillId="0" borderId="1" applyAlignment="1" pivotButton="0" quotePrefix="0" xfId="0">
      <alignment horizontal="center" vertical="center" wrapText="1"/>
    </xf>
    <xf numFmtId="0" fontId="2" fillId="0" borderId="2" applyAlignment="1" pivotButton="0" quotePrefix="0" xfId="0">
      <alignment horizontal="center" vertical="center" wrapText="1"/>
    </xf>
    <xf numFmtId="0" fontId="3" fillId="0" borderId="1" applyAlignment="1" pivotButton="0" quotePrefix="0" xfId="0">
      <alignment vertical="top" wrapText="1"/>
    </xf>
    <xf numFmtId="0" fontId="3" fillId="0" borderId="2" applyAlignment="1" pivotButton="0" quotePrefix="0" xfId="0">
      <alignment vertical="top" wrapText="1"/>
    </xf>
    <xf numFmtId="0" fontId="1" fillId="0" borderId="0" applyAlignment="1" pivotButton="0" quotePrefix="0" xfId="0">
      <alignment horizontal="center"/>
    </xf>
    <xf numFmtId="0" fontId="1" fillId="0" borderId="0" pivotButton="0" quotePrefix="0" xfId="0"/>
    <xf numFmtId="0" fontId="1" fillId="0" borderId="0" pivotButton="0" quotePrefix="0" xfId="0"/>
    <xf numFmtId="0" fontId="2" fillId="0" borderId="3"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0" applyAlignment="1" pivotButton="0" quotePrefix="0" xfId="0">
      <alignment horizontal="center" vertical="center" wrapText="1"/>
    </xf>
    <xf numFmtId="0" fontId="4" fillId="0" borderId="1" applyAlignment="1" pivotButton="0" quotePrefix="0" xfId="0">
      <alignment vertical="top" wrapText="1"/>
    </xf>
    <xf numFmtId="0" fontId="1" fillId="0" borderId="1" pivotButton="0" quotePrefix="0" xfId="0"/>
    <xf numFmtId="0" fontId="1" fillId="0" borderId="3" pivotButton="0" quotePrefix="0" xfId="0"/>
    <xf numFmtId="0" fontId="1" fillId="0" borderId="1" pivotButton="0" quotePrefix="0" xfId="0"/>
    <xf numFmtId="0" fontId="5" fillId="0" borderId="1" applyAlignment="1" pivotButton="0" quotePrefix="0" xfId="0">
      <alignment vertical="top" wrapText="1"/>
    </xf>
    <xf numFmtId="0" fontId="1" fillId="0" borderId="3"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V8"/>
  <sheetViews>
    <sheetView workbookViewId="0">
      <pane xSplit="1" ySplit="1" topLeftCell="B2" activePane="bottomRight" state="frozen"/>
      <selection activeCell="A1" sqref="A1"/>
      <selection pane="topRight" activeCell="A1" sqref="A1"/>
      <selection pane="bottomLeft" activeCell="A1" sqref="A1"/>
      <selection pane="bottomRight" activeCell="E3" sqref="E3"/>
    </sheetView>
  </sheetViews>
  <sheetFormatPr baseColWidth="8" defaultColWidth="9" defaultRowHeight="13.8" outlineLevelRow="7"/>
  <cols>
    <col width="13.3333333333333" customWidth="1" style="10" min="1" max="1"/>
    <col width="14" customWidth="1" style="10" min="2" max="2"/>
    <col width="16" customWidth="1" style="10" min="3" max="3"/>
    <col width="10" customWidth="1" style="10" min="4" max="4"/>
    <col width="40" customWidth="1" style="10" min="5" max="5"/>
    <col width="55" customWidth="1" style="10" min="6" max="6"/>
    <col width="40" customWidth="1" style="10" min="7" max="7"/>
    <col width="30" customWidth="1" style="10" min="8" max="8"/>
    <col width="9" customWidth="1" style="10" min="9" max="9"/>
    <col width="80" customWidth="1" style="10" min="10" max="10"/>
    <col width="30" customWidth="1" style="10" min="11" max="11"/>
    <col width="60" customWidth="1" style="10" min="12" max="12"/>
    <col width="7" customWidth="1" style="10" min="13" max="13"/>
    <col width="9" customWidth="1" style="10" min="14" max="18"/>
    <col width="12" customWidth="1" style="10" min="19" max="19"/>
    <col width="40" customWidth="1" style="10" min="20" max="20"/>
    <col width="10" customWidth="1" style="10" min="21" max="21"/>
    <col width="9" customWidth="1" style="10" min="22" max="22"/>
    <col width="9" customWidth="1" style="10" min="23" max="16384"/>
  </cols>
  <sheetData>
    <row r="1" ht="43.2" customHeight="1">
      <c r="A1" s="12" t="inlineStr">
        <is>
          <t>question_id</t>
        </is>
      </c>
      <c r="B1" s="12" t="inlineStr">
        <is>
          <t>Question type</t>
        </is>
      </c>
      <c r="C1" s="12" t="inlineStr">
        <is>
          <t>Region</t>
        </is>
      </c>
      <c r="D1" s="12" t="inlineStr">
        <is>
          <t>Answerability</t>
        </is>
      </c>
      <c r="E1" s="12" t="inlineStr">
        <is>
          <t>Question</t>
        </is>
      </c>
      <c r="F1" s="12" t="inlineStr">
        <is>
          <t>Reference answer</t>
        </is>
      </c>
      <c r="G1" s="12" t="inlineStr">
        <is>
          <t>Required points</t>
        </is>
      </c>
      <c r="H1" s="12" t="inlineStr">
        <is>
          <t>Major errors</t>
        </is>
      </c>
      <c r="I1" s="12" t="inlineStr">
        <is>
          <t>Answerable / to decline</t>
        </is>
      </c>
      <c r="J1" s="12" t="inlineStr">
        <is>
          <t>Cited passages (text omitted)</t>
        </is>
      </c>
      <c r="K1" s="12" t="inlineStr">
        <is>
          <t>Original URL</t>
        </is>
      </c>
      <c r="L1" s="12" t="inlineStr">
        <is>
          <t>Other retrieved passages (text omitted)</t>
        </is>
      </c>
      <c r="M1" s="12" t="inlineStr">
        <is>
          <t>1 Facts correct</t>
        </is>
      </c>
      <c r="N1" s="12" t="inlineStr">
        <is>
          <t>2 Numbers and units</t>
        </is>
      </c>
      <c r="O1" s="12" t="inlineStr">
        <is>
          <t>3 Qualifications kept</t>
        </is>
      </c>
      <c r="P1" s="12" t="inlineStr">
        <is>
          <t>4 Not beyond the source</t>
        </is>
      </c>
      <c r="Q1" s="12" t="inlineStr">
        <is>
          <t>5 Required points sensible</t>
        </is>
      </c>
      <c r="R1" s="12" t="inlineStr">
        <is>
          <t>6 Question clear</t>
        </is>
      </c>
      <c r="S1" s="12" t="inlineStr">
        <is>
          <t>Review result</t>
        </is>
      </c>
      <c r="T1" s="12" t="inlineStr">
        <is>
          <t>Change notes</t>
        </is>
      </c>
      <c r="U1" s="12" t="inlineStr">
        <is>
          <t>Reviewer</t>
        </is>
      </c>
      <c r="V1" s="5" t="n"/>
    </row>
    <row r="2" ht="150" customHeight="1">
      <c r="A2" s="6" t="inlineStr">
        <is>
          <t>D001</t>
        </is>
      </c>
      <c r="B2" s="6" t="inlineStr">
        <is>
          <t>symptoms_identification</t>
        </is>
      </c>
      <c r="C2" s="6" t="inlineStr">
        <is>
          <t>unspecified</t>
        </is>
      </c>
      <c r="D2" s="6" t="inlineStr">
        <is>
          <t>answerable</t>
        </is>
      </c>
      <c r="E2" s="6" t="inlineStr">
        <is>
          <t>The new leaves and shoots on my apple trees are covered in white powder and look stunted. What is it and what should I do?</t>
        </is>
      </c>
      <c r="F2" s="6" t="inlineStr">
        <is>
          <t>This matches powdery mildew (Podosphaera leucotricha): a white to light-grey powdery growth on leaves and shoots that stunts and distorts new growth; infected leaves may curl upward, and infected fruit can be stunted and russeted. The fungus overwinters inside infected buds. Manage it by pruning out infected shoot tips during dormancy or early spring, and by protective sprays in spring: Penn State advises starting at tight cluster where the disease is severe and continuing until shoots stop growing; UC IPM notes mildew sprays are usually combined with the scab programme and that timing and material vary by orchard.</t>
        </is>
      </c>
      <c r="G2" s="6" t="inlineStr">
        <is>
          <t>• identifies powdery mildew
• white powdery growth stunting/distorting shoots and leaves (fruit may be russeted)
• prune out infected shoots/buds in dormancy or early spring
• spring protective sprays from about tight cluster until shoot growth stops</t>
        </is>
      </c>
      <c r="H2" s="6" t="inlineStr">
        <is>
          <t>• diagnoses apple scab, woolly apple aphid or another cause as the main answer
• recommends only autumn/post-harvest treatment</t>
        </is>
      </c>
      <c r="I2" s="6" t="inlineStr"/>
      <c r="J2" s="6" t="inlineStr">
        <is>
          <t>[S003:web:1 | Powdery Mildew | Symptoms and Signs | United States - California | date Text Updated: 03/09; Treatment Table Updated: 10/15]
[S003:web:3 | Powdery Mildew | Management | United States - California | date Text Updated: 03/09; Treatment Table Updated: 10/15]
[S210:web:2 | Apple Disease - Powdery Mildew | Symptoms | United States - Pennsylvania | date January 5, 2024]
[S210:web:4 | Apple Disease - Powdery Mildew | Disease Management | United States - Pennsylvania | date January 5, 2024]
[S210:web:3 | Apple Disease - Powdery Mildew | Disease Cycle | United States - Pennsylvania | date January 5, 2024]
[passage text omitted for copyright; see the chunk ids above and data/registers/source_register.json]</t>
        </is>
      </c>
      <c r="K2" s="6" t="inlineStr">
        <is>
          <t>https://ipm.ucanr.edu/agriculture/apple/powdery-mildew/
https://extension.psu.edu/apple-disease-powdery-mildew</t>
        </is>
      </c>
      <c r="L2" s="6" t="inlineStr">
        <is>
          <t>Retrieval rank of cited passage: 2
#1 S210:web:1 (0.758)Apple Disease - Powdery Mildew | Overview
#2 Pc857494577bd34fb:p22:c1 (0.736)Apple IPM for Beginners | Powdery mildew: damage and cycle
#3 S175:web:1 (0.736)Fact Sheet: Powdery Mildew | What is powdery mildew?
#4 S014:web:10 (0.735)Apple Powdery Mildew | Description and Identification
[passage text omitted for copyright; see the chunk ids above and data/registers/source_register.json]</t>
        </is>
      </c>
      <c r="M2" s="6" t="inlineStr">
        <is>
          <t>✓</t>
        </is>
      </c>
      <c r="N2" s="6" t="inlineStr">
        <is>
          <t>NA</t>
        </is>
      </c>
      <c r="O2" s="6" t="inlineStr">
        <is>
          <t>✓</t>
        </is>
      </c>
      <c r="P2" s="6" t="inlineStr">
        <is>
          <t>✓</t>
        </is>
      </c>
      <c r="Q2" s="6" t="inlineStr">
        <is>
          <t>✓</t>
        </is>
      </c>
      <c r="R2" s="6" t="inlineStr">
        <is>
          <t>✓</t>
        </is>
      </c>
      <c r="S2" s="6" t="inlineStr">
        <is>
          <t>Passed</t>
        </is>
      </c>
      <c r="T2" s="6" t="n"/>
      <c r="U2" s="6" t="inlineStr">
        <is>
          <t>Wenyu Wu</t>
        </is>
      </c>
      <c r="V2" s="7" t="n"/>
    </row>
    <row r="3" ht="150" customHeight="1">
      <c r="A3" s="6" t="inlineStr">
        <is>
          <t>D004</t>
        </is>
      </c>
      <c r="B3" s="6" t="inlineStr">
        <is>
          <t>symptoms_identification</t>
        </is>
      </c>
      <c r="C3" s="6" t="inlineStr">
        <is>
          <t>unspecified</t>
        </is>
      </c>
      <c r="D3" s="6" t="inlineStr">
        <is>
          <t>answerable</t>
        </is>
      </c>
      <c r="E3" s="6" t="inlineStr">
        <is>
          <t>My apple leaves look silvery, then turn brown, and some leaves are rolling up. What is causing it?</t>
        </is>
      </c>
      <c r="F3" s="6" t="inlineStr">
        <is>
          <t>This fits apple rust mite: feeding gives leaves a silvery cast that turns browner over the season, with finer bronzing than spider mites and no stippling, and heavily damaged leaves roll lengthwise, looking drought-stressed. Penn State notes silvering does not appear until populations exceed about 200 mites per leaf. The mites are too small to see with the naked eye, so check the leaf underside and midrib with a strong hand lens to confirm. Apple leafcurling midge also rolls leaves, but its larvae feed along the leaf margins, producing thickened, tightly rolled tube-like leaves that may turn reddish, rather than silvering.</t>
        </is>
      </c>
      <c r="G3" s="6" t="inlineStr">
        <is>
          <t>• identifies apple rust mite as the likely cause
• silvering turning brown, finer bronzing without stippling, lengthwise leaf rolling
• confirm with a hand lens on leaf underside/midrib
• distinguishes from apple leafcurling midge (thickened, tightly rolled tube-like leaves from larval feeding)</t>
        </is>
      </c>
      <c r="H3" s="6" t="inlineStr">
        <is>
          <t>• diagnoses powdery mildew or a nutrient problem without mentioning mites
• states the mites are easily visible to the naked eye</t>
        </is>
      </c>
      <c r="I3" s="6" t="inlineStr"/>
      <c r="J3" s="6" t="inlineStr">
        <is>
          <t>[S089:web:7 | Apple rust mite | Damage | United States - Pacific Northwest | date by Elizabeth H. Beers , George N. Oldfiield, and Peter H. Westigard, originally published 1993]
[S251:web:3 | Tree Fruit Mite Pest - Apple Rust Mite | Feeding | United States - Pennsylvania | date October 30, 2023]
[S251:web:2 | Tree Fruit Mite Pest - Apple Rust Mite | Description and life cycle | United States - Pennsylvania | date October 30, 2023]
[S087:web:9 | Apple leafcurling midge | Damage | United States - Pacific Northwest | date by Eric LaGasa, published online December 2007; revised 2017 by Elizabeth H. Beers]
[passage text omitted for copyright; see the chunk ids above and data/registers/source_register.json]</t>
        </is>
      </c>
      <c r="K3" s="6" t="inlineStr">
        <is>
          <t>https://treefruit.wsu.edu/crop-protection/opm/apple-rust-mite/
https://extension.psu.edu/tree-fruit-mite-pest-apple-rust-mite
https://treefruit.wsu.edu/crop-protection/opm/apple-leafcurling-midge/</t>
        </is>
      </c>
      <c r="L3" s="6" t="inlineStr">
        <is>
          <t>Retrieval rank of cited passage: 3
#1 S174:web:2 (0.716)Fact Sheet: Apple Scab | What does apple scab look like?
#2 S212:web:2 (0.714)Apple Diseases - Fruit Rots, Control at Apple Harvest (and Postharvest) | Necrotic Leaf Blotch vs. Gomerella Leaf Spot
#3 Pac2f744e6d94a879:p45:c1 (0.703)Crop Profile for Apple in Canada, 2022 (Sixth Edition, 2023) | Apple Leaf Curling Midge (Dasineura mali); biology/cultural management, Canada 2023
#4 S001:web:1 (0.703)Apple Scab | Symptoms and Signs
[passage text omitted for copyright; see the chunk ids above and data/registers/source_register.json]</t>
        </is>
      </c>
      <c r="M3" s="6" t="inlineStr">
        <is>
          <t>✓</t>
        </is>
      </c>
      <c r="N3" s="6" t="inlineStr">
        <is>
          <t>NA</t>
        </is>
      </c>
      <c r="O3" s="6" t="inlineStr">
        <is>
          <t>✓</t>
        </is>
      </c>
      <c r="P3" s="6" t="inlineStr">
        <is>
          <t>✓</t>
        </is>
      </c>
      <c r="Q3" s="6" t="inlineStr">
        <is>
          <t>✓</t>
        </is>
      </c>
      <c r="R3" s="6" t="inlineStr">
        <is>
          <t>✓</t>
        </is>
      </c>
      <c r="S3" s="6" t="inlineStr">
        <is>
          <t>Passed</t>
        </is>
      </c>
      <c r="T3" s="6" t="n"/>
      <c r="U3" s="6" t="inlineStr">
        <is>
          <t>Wenyu Wu</t>
        </is>
      </c>
      <c r="V3" s="7" t="n"/>
    </row>
    <row r="4" ht="150" customHeight="1">
      <c r="A4" s="6" t="inlineStr">
        <is>
          <t>D007</t>
        </is>
      </c>
      <c r="B4" s="6" t="inlineStr">
        <is>
          <t>management_strategy</t>
        </is>
      </c>
      <c r="C4" s="6" t="inlineStr">
        <is>
          <t>unspecified</t>
        </is>
      </c>
      <c r="D4" s="6" t="inlineStr">
        <is>
          <t>answerable</t>
        </is>
      </c>
      <c r="E4" s="6" t="inlineStr">
        <is>
          <t>Leaves on my apple trees are tightly curled with purplish aphids inside, and the young apples are deformed. What should I do?</t>
        </is>
      </c>
      <c r="F4" s="6" t="inlineStr">
        <is>
          <t>This is rosy apple aphid, potentially the most damaging aphid on apples: purplish waxy aphids cluster in curled leaves of fruit spurs, and toxic saliva stunts the fruit into small, misshapen apples; young trees can have shoots permanently distorted. Young trees need treatment when terminals are infested, while mature trees tolerate more damage. For the long term, examine 25–100 fruit spurs for eggs in the dormant season (eggs are shiny, black and elongated); if any are found, a dormant or delayed-dormant treatment is needed. Keep plantain, the summer host, out of the cover crop. Populations vary from year to year.</t>
        </is>
      </c>
      <c r="G4" s="6" t="inlineStr">
        <is>
          <t>• identifies rosy apple aphid
• treat young trees when terminals infested; mature trees tolerate more
• dormant-season spur egg checks and dormant/delayed-dormant treatment if eggs are found
• control plantain (alternate host) in the cover crop</t>
        </is>
      </c>
      <c r="H4" s="6" t="inlineStr">
        <is>
          <t>• identifies it as green apple aphid or woolly apple aphid
• says no action is ever needed</t>
        </is>
      </c>
      <c r="I4" s="6" t="inlineStr"/>
      <c r="J4" s="6" t="inlineStr">
        <is>
          <t>[S010:web:1 | Rosy Apple Aphid | Description of the Pest | United States - California | date Text Updated: 01/11; Treatment Table Updated: 10/15]
[S010:web:2 | Rosy Apple Aphid | Damage | United States - California | date Text Updated: 01/11; Treatment Table Updated: 10/15]
[S010:web:3 | Rosy Apple Aphid | Management | United States - California | date Text Updated: 01/11; Treatment Table Updated: 10/15]
[S010:web:6 | Rosy Apple Aphid | Monitoring and Treatment Decisions | United States - California | date Text Updated: 01/11; Treatment Table Updated: 10/15]
[S136:web:7 | Rosy apple aphid | Damage | United States - Pacific Northwest | date by Elizabeth H. Beers and Michael J. Willett, originally published 1993; revised December 2007; revised December 2007]
[passage text omitted for copyright; see the chunk ids above and data/registers/source_register.json]</t>
        </is>
      </c>
      <c r="K4" s="6" t="inlineStr">
        <is>
          <t>https://ipm.ucanr.edu/agriculture/apple/rosy-apple-aphid/
https://treefruit.wsu.edu/crop-protection/opm/rosy-apple-aphid/</t>
        </is>
      </c>
      <c r="L4" s="6" t="inlineStr">
        <is>
          <t>Retrieval rank of cited passage: 3
#1 S236:web:4 (0.810)Tree Fruit Insect Pest - Rosy Apple Aphid | Egg hatch and feeding
#2 S086:web:8 (0.803)Apple grain aphid | Damage
#3 S244:web:2 (0.796)Tree Fruit Insect Pest - Woolly Apple Aphid | Description and Life Cycle
#4 S236:web:2 (0.784)Tree Fruit Insect Pest - Rosy Apple Aphid | Description and life cycle
[passage text omitted for copyright; see the chunk ids above and data/registers/source_register.json]</t>
        </is>
      </c>
      <c r="M4" s="6" t="inlineStr">
        <is>
          <t>✓</t>
        </is>
      </c>
      <c r="N4" s="6" t="inlineStr">
        <is>
          <t>NA</t>
        </is>
      </c>
      <c r="O4" s="6" t="inlineStr">
        <is>
          <t>✓</t>
        </is>
      </c>
      <c r="P4" s="6" t="inlineStr">
        <is>
          <t>✓</t>
        </is>
      </c>
      <c r="Q4" s="6" t="inlineStr">
        <is>
          <t>✓</t>
        </is>
      </c>
      <c r="R4" s="6" t="inlineStr">
        <is>
          <t>✓</t>
        </is>
      </c>
      <c r="S4" s="6" t="inlineStr">
        <is>
          <t>Passed</t>
        </is>
      </c>
      <c r="T4" s="6" t="n"/>
      <c r="U4" s="6" t="inlineStr">
        <is>
          <t>Wenyu Wu</t>
        </is>
      </c>
      <c r="V4" s="7" t="n"/>
    </row>
    <row r="5" ht="150" customHeight="1">
      <c r="A5" s="6" t="inlineStr">
        <is>
          <t>D010</t>
        </is>
      </c>
      <c r="B5" s="6" t="inlineStr">
        <is>
          <t>management_strategy</t>
        </is>
      </c>
      <c r="C5" s="6" t="inlineStr">
        <is>
          <t>unspecified</t>
        </is>
      </c>
      <c r="D5" s="6" t="inlineStr">
        <is>
          <t>answerable</t>
        </is>
      </c>
      <c r="E5" s="6" t="inlineStr">
        <is>
          <t>Many of my apples have a hole with brown frass and a worm inside the core. How do I stop this?</t>
        </is>
      </c>
      <c r="F5" s="6" t="inlineStr">
        <is>
          <t>This is typical of codling moth: larvae tunnel to the core and feed on the seeds, leaving holes plugged with frass; oriental fruit moth can cause similar damage. Control targets the newly hatching larvae with properly timed treatments. Cultural measures from UC IPM: remove nearby host trees in abandoned orchards (apple, pear, walnut), remove props, picking bins and fruit piles, prune and calibrate sprayers for good coverage, and in small or organic orchards hand-thin infested fruit each generation before larvae leave the fruit and pick up dropped fruit.</t>
        </is>
      </c>
      <c r="G5" s="6" t="inlineStr">
        <is>
          <t>• identifies codling moth (frass-plugged holes, larva at core)
• treatments target newly hatched larvae and must be properly timed
• remove infested/dropped fruit and nearby abandoned host trees, bins and fruit piles
• good spray coverage (pruning, calibration)</t>
        </is>
      </c>
      <c r="H5" s="6" t="inlineStr">
        <is>
          <t>• identifies apple maggot as the cause despite frass and core feeding
• recommends spraying only after harvest</t>
        </is>
      </c>
      <c r="I5" s="6" t="inlineStr"/>
      <c r="J5" s="6" t="inlineStr">
        <is>
          <t>[S006:web:2 | Codling Moth | Damage | United States - California | date Text Updated: 12/09; Treatment Table Updated: 10/15]
[S022:web:4 | Tree Fruit Insect Pest - Codling Moth | Damage | United States - Pennsylvania | date February 25, 2026]
[S006:web:5 | Codling Moth | Cultural Control | United States - California | date Text Updated: 12/09; Treatment Table Updated: 10/15]
[Pc857494577bd34fb:p30:c1 | Apple IPM for Beginners | Worms in apple fruit | United States - New York | date 2014]
[Pc857494577bd34fb:p30:c2 | Apple IPM for Beginners | Worms in apple fruit | United States - New York | date 2014]
[passage text omitted for copyright; see the chunk ids above and data/registers/source_register.json]</t>
        </is>
      </c>
      <c r="K5" s="6" t="inlineStr">
        <is>
          <t>https://ipm.ucanr.edu/agriculture/apple/codling-moth/
https://extension.psu.edu/tree-fruit-insect-pest-codling-moth
https://blogs.cornell.edu/newfruit/files/2016/12/Apple_IPM_Beginners-21ahj65.pdf</t>
        </is>
      </c>
      <c r="L5" s="6" t="inlineStr">
        <is>
          <t>Retrieval rank of cited passage: 1
#1 S211:web:1 (0.734)Apple Disease: Moldy Core | Overview
#2 S211:web:3 (0.721)Apple Disease: Moldy Core | Disease Cycle
#3 Pac2f744e6d94a879:p34:c1 (0.721)Crop Profile for Apple in Canada, 2022 (Sixth Edition, 2023) | Post-Harvest Diseases: Blue Mold (Penicillium expansum and other
[passage text omitted for copyright; see the chunk ids above and data/registers/source_register.json]</t>
        </is>
      </c>
      <c r="M5" s="6" t="inlineStr">
        <is>
          <t>✓</t>
        </is>
      </c>
      <c r="N5" s="6" t="inlineStr">
        <is>
          <t>NA</t>
        </is>
      </c>
      <c r="O5" s="6" t="inlineStr">
        <is>
          <t>✓</t>
        </is>
      </c>
      <c r="P5" s="6" t="inlineStr">
        <is>
          <t>✓</t>
        </is>
      </c>
      <c r="Q5" s="6" t="inlineStr">
        <is>
          <t>✓</t>
        </is>
      </c>
      <c r="R5" s="6" t="inlineStr">
        <is>
          <t>✓</t>
        </is>
      </c>
      <c r="S5" s="6" t="inlineStr">
        <is>
          <t>Passed</t>
        </is>
      </c>
      <c r="T5" s="6" t="n"/>
      <c r="U5" s="6" t="inlineStr">
        <is>
          <t>Wenyu Wu</t>
        </is>
      </c>
      <c r="V5" s="7" t="n"/>
    </row>
    <row r="6" ht="150" customHeight="1">
      <c r="A6" s="6" t="inlineStr">
        <is>
          <t>D014</t>
        </is>
      </c>
      <c r="B6" s="6" t="inlineStr">
        <is>
          <t>postharvest</t>
        </is>
      </c>
      <c r="C6" s="6" t="inlineStr">
        <is>
          <t>unspecified</t>
        </is>
      </c>
      <c r="D6" s="6" t="inlineStr">
        <is>
          <t>answerable</t>
        </is>
      </c>
      <c r="E6" s="6" t="inlineStr">
        <is>
          <t>We had a wet autumn and ran the over-tree sprinklers for cooling before harvest. A few months into storage, the apples have round brown spots with lighter centres. What is it, and did the wet conditions cause it?</t>
        </is>
      </c>
      <c r="F6" s="6" t="inlineStr">
        <is>
          <t>This matches bull's eye rot (Neofabraea spp.): circular, flat to slightly sunken spots with a light to dark brown halo around a lighter tan centre, often several per fruit, appearing slowly in cold storage; cream-coloured spore masses may develop in the centre. Yes, the conditions are relevant: infection happens in the orchard before harvest and stays latent until storage, and water spreads the fungal inoculum and creates conditions for fruit infection, which is why WSU advises avoiding overhead irrigation and cycling over-tree cooling so the canopy does not stay wet for long. Prevention is in the orchard: plant clean stock, scout and prune out cankered branches, avoid overhead irrigation and long wet periods in the canopy, harvest fruit dry and store it promptly; fungicides are used pre-harvest and postharvest in the Pacific Northwest.</t>
        </is>
      </c>
      <c r="G6" s="6" t="inlineStr">
        <is>
          <t>• identifies bull's eye rot
• lesion description (brown halo, lighter centre, several per fruit, slow in storage)
• links wet canopy/overhead water to spread of inoculum and pre-harvest fruit infection, latent until storage
• prevention: avoid overhead irrigation, cycle over-tree cooling, canker removal, harvest dry and store promptly</t>
        </is>
      </c>
      <c r="H6" s="6" t="inlineStr">
        <is>
          <t>• diagnoses blue mold or a storage disorder caused by storage conditions only
• recommends only storage-room changes</t>
        </is>
      </c>
      <c r="I6" s="6" t="inlineStr"/>
      <c r="J6" s="6" t="inlineStr">
        <is>
          <t>[S016:web:3 | Bull's Eye Rot | Symptoms | United States - Pacific Northwest | date 2020-04]
[S016:web:6 | Bull's Eye Rot | Cultural Controls | United States - Pacific Northwest | date 2020-04]
[S016:web:7 | Bull's Eye Rot | Chemical Controls | United States - Pacific Northwest | date 2020-04]
[Pecf09cdda8cf073d:p1:c1 | The effect of fungicides on spore germination, mycelial growth and lesion development of Phlyctema vagabunda (syn: Neofabraea alba) (bull’s eye rot of apples) | Abstract – dated research findings | New Zealand - laboratory and detached apple fruit | date 2017]
[passage text omitted for copyright; see the chunk ids above and data/registers/source_register.json]</t>
        </is>
      </c>
      <c r="K6" s="6" t="inlineStr">
        <is>
          <t>https://treefruit.wsu.edu/crop-protection/disease-management/bulls-eye-rot/
https://journal.nzpps.org/index.php/nzpp/article/download/36/20</t>
        </is>
      </c>
      <c r="L6" s="6" t="inlineStr">
        <is>
          <t>cited passage not in the top 6
#1 S174:web:2 (0.781)Fact Sheet: Apple Scab | What does apple scab look like?
#2 S001:web:1 (0.768)Apple Scab | Symptoms and Signs
#3 S209:web:2 (0.765)Apple Disease - Marssonina Blotch | Marssonina Blotch Symptoms on Apple Trees
#4 Pac2f744e6d94a879:p19:c1 (0.762)Crop Profile for Apple in Canada, 2022 (Sixth Edition, 2023) | Apple Scab (Venturia inaequalis); biology/cultural management, Canada 2023
#5 Pac2f744e6d94a879:p23:c1 (0.758)Crop Profile for Apple in Canada, 2022 (Sixth Edition, 2023) | Bitter Rot and Glomerella Leaf Blotch (Colletotrichum spp.); biology/cultural management, Canada 2023
#6 Pc857494577bd34fb:p26:c1 (0.754)Apple IPM for Beginners | Summer diseases
[passage text omitted for copyright; see the chunk ids above and data/registers/source_register.json]</t>
        </is>
      </c>
      <c r="M6" s="6" t="inlineStr">
        <is>
          <t>✓</t>
        </is>
      </c>
      <c r="N6" s="6" t="inlineStr">
        <is>
          <t>NA</t>
        </is>
      </c>
      <c r="O6" s="6" t="inlineStr">
        <is>
          <t>✓</t>
        </is>
      </c>
      <c r="P6" s="6" t="inlineStr">
        <is>
          <t>✓</t>
        </is>
      </c>
      <c r="Q6" s="6" t="inlineStr">
        <is>
          <t>✓</t>
        </is>
      </c>
      <c r="R6" s="6" t="inlineStr">
        <is>
          <t>✓</t>
        </is>
      </c>
      <c r="S6" s="6" t="inlineStr">
        <is>
          <t>Passed</t>
        </is>
      </c>
      <c r="T6" s="6" t="n"/>
      <c r="U6" s="6" t="inlineStr">
        <is>
          <t>Wenyu Wu</t>
        </is>
      </c>
      <c r="V6" s="7" t="n"/>
    </row>
    <row r="7" ht="150" customHeight="1">
      <c r="A7" s="6" t="inlineStr">
        <is>
          <t>D017</t>
        </is>
      </c>
      <c r="B7" s="6" t="inlineStr">
        <is>
          <t>boundary_insufficient</t>
        </is>
      </c>
      <c r="C7" s="6" t="inlineStr">
        <is>
          <t>New Zealand</t>
        </is>
      </c>
      <c r="D7" s="6" t="inlineStr">
        <is>
          <t>partial</t>
        </is>
      </c>
      <c r="E7" s="6" t="inlineStr">
        <is>
          <t>I'm in New Zealand. What temperature should I store my apples at to stop bull's eye rot?</t>
        </is>
      </c>
      <c r="F7" s="6" t="inlineStr">
        <is>
          <t>The evidence does not give a New Zealand storage temperature or duration for preventing bull's eye rot, so no temperature can be recommended from it. A New Zealand study notes that bull's eye rot infections occur in the orchard mostly before harvest and appear after 4–5 months of cool storage, so the cited evidence addresses orchard-stage prevention rather than a storage temperature. Overseas (Pacific Northwest) guidance focuses on orchard measures: remove cankers, limit canopy wetness, harvest fruit dry and store promptly. A Canadian crop profile notes that variety-specific temperature and atmosphere regimes exist without giving values.</t>
        </is>
      </c>
      <c r="G7" s="6" t="inlineStr">
        <is>
          <t>• does not give a definite storage temperature as proven to stop bull's eye rot
• infection mostly happens in the orchard before harvest; rot appears after months (about 4–5) of cool storage
• orchard prevention measures (remove cankers, limit canopy wetness, harvest dry, store promptly)
• does not invent a temperature or duration</t>
        </is>
      </c>
      <c r="H7" s="6" t="inlineStr">
        <is>
          <t>• gives a specific storage temperature as a recommendation
• claims cold storage alone prevents bull's eye rot</t>
        </is>
      </c>
      <c r="I7" s="6" t="inlineStr">
        <is>
          <t>Answerable: infection period, overseas orchard measures; decline: New Zealand storage temperature; reason: no such evidence in the corpus</t>
        </is>
      </c>
      <c r="J7" s="6" t="inlineStr">
        <is>
          <t>[Pecf09cdda8cf073d:p1:c1 | The effect of fungicides on spore germination, mycelial growth and lesion development of Phlyctema vagabunda (syn: Neofabraea alba) (bull’s eye rot of apples) | Abstract – dated research findings | New Zealand - laboratory and detached apple fruit | date 2017]
[S016:web:6 | Bull's Eye Rot | Cultural Controls | United States - Pacific Northwest | date 2020-04]
[Pac2f744e6d94a879:p34:c1 | Crop Profile for Apple in Canada, 2022 (Sixth Edition, 2023) | Post-Harvest Diseases: Blue Mold (Penicillium expansum and other
[passage text omitted for copyright; see the chunk ids above and data/registers/source_register.json]</t>
        </is>
      </c>
      <c r="K7" s="6" t="inlineStr">
        <is>
          <t>https://journal.nzpps.org/index.php/nzpp/article/download/36/20
https://treefruit.wsu.edu/crop-protection/disease-management/bulls-eye-rot/
https://publications.gc.ca/collections/collection_2023/aac-aafc/A118-10-7-2022-eng.pdf</t>
        </is>
      </c>
      <c r="L7" s="6" t="inlineStr">
        <is>
          <t>cited passage not in the top 6
#1 S072:web:9 (0.812)Apple Anthracnose | Management in storage
#2 S016:web:1 (0.772)Bull's Eye Rot | Overview
#3 P4ffb637265c92420:p1:c1 (0.751)Bull’s Eye Rot | Bull's Eye Rot: symptoms and infection cycle
#4 P4ffb637265c92420:p3:c1 (0.750)Bull’s Eye Rot | Bull's Eye Rot: infection and cultural control
#5 S016:web:2 (0.746)Bull's Eye Rot | Casual Organism
#6 S072:web:6 (0.737)Apple Anthracnose | Bull’s-eye Rot
[passage text omitted for copyright; see the chunk ids above and data/registers/source_register.json]</t>
        </is>
      </c>
      <c r="M7" s="6" t="inlineStr">
        <is>
          <t>✓</t>
        </is>
      </c>
      <c r="N7" s="6" t="inlineStr">
        <is>
          <t>NA</t>
        </is>
      </c>
      <c r="O7" s="6" t="inlineStr">
        <is>
          <t>✓</t>
        </is>
      </c>
      <c r="P7" s="6" t="inlineStr">
        <is>
          <t>✓</t>
        </is>
      </c>
      <c r="Q7" s="6" t="inlineStr">
        <is>
          <t>✗</t>
        </is>
      </c>
      <c r="R7" s="6" t="inlineStr">
        <is>
          <t>✓</t>
        </is>
      </c>
      <c r="S7" s="6" t="inlineStr">
        <is>
          <t>Passed after modification</t>
        </is>
      </c>
      <c r="T7" s="6" t="inlineStr">
        <is>
          <t>Keep the boundary of declining to give an unsourced exact NZ temperature; state that cold storage does not guarantee complete prevention of bull’s eye rot.</t>
        </is>
      </c>
      <c r="U7" s="6" t="inlineStr">
        <is>
          <t>Wenyu Wu</t>
        </is>
      </c>
      <c r="V7" s="7" t="n"/>
    </row>
    <row r="8" ht="150" customHeight="1">
      <c r="A8" s="6" t="inlineStr">
        <is>
          <t>D019</t>
        </is>
      </c>
      <c r="B8" s="6" t="inlineStr">
        <is>
          <t>symptoms_identification</t>
        </is>
      </c>
      <c r="C8" s="6" t="inlineStr">
        <is>
          <t>unspecified</t>
        </is>
      </c>
      <c r="D8" s="6" t="inlineStr">
        <is>
          <t>answerable</t>
        </is>
      </c>
      <c r="E8" s="6" t="inlineStr">
        <is>
          <t>In summer the leaves on my apple trees get small dark spots with a purplish edge, then turn yellow and drop early. What is causing this and what can I do?</t>
        </is>
      </c>
      <c r="F8" s="6" t="inlineStr">
        <is>
          <t>One likely cause is Marssonina blotch (apple blotch, Diplocarpon coronariae): grey-brown to black leaf spots 5–10 mm across with a purple tinge at the edge, often with tiny black fruiting bodies; spots merge, the leaf yellows and falls, and severe defoliation can start in early summer. A look-alike is frogeye leaf spot from the black rot fungus, which starts as small purple spots whose centres turn brown or tan while the margin stays purple; apple scab instead gives olive-green spots with fuzzy margins that become black and velvety (scab can also make leaves yellow and drop early). Compare the spot colour, margin and texture rather than leaf drop alone. For Marssonina blotch (Penn State guidance): remove overwintered leaves from the orchard floor (urea in autumn helps them decompose), prune for sanitation, and protect from late bloom/petal fall to early-mid June ahead of rain with FRAC 3 and/or 7 fungicides mixed with mancozeb or captan; FRAC 11 is ineffective early in the season; micronized sulfur is the most effective organic option.</t>
        </is>
      </c>
      <c r="G8" s="6" t="inlineStr">
        <is>
          <t>• suggests Marssonina blotch (purple-edged dark spots, yellowing, early leaf drop)
• names at least one look-alike (frogeye leaf spot/black rot or apple scab) and distinguishes by spot appearance, not by leaf drop
• sanitation: remove fallen leaves, urea in autumn, pruning
• protective sprays from late bloom/petal fall to mid-June before rain; FRAC 11 ineffective early</t>
        </is>
      </c>
      <c r="H8" s="6" t="inlineStr">
        <is>
          <t>• gives a single diagnosis of apple scab without considering alternatives
• uses yellowing/leaf drop alone to rule out apple scab
• recommends FRAC 11 alone as the early-season control</t>
        </is>
      </c>
      <c r="I8" s="6" t="inlineStr"/>
      <c r="J8" s="6" t="inlineStr">
        <is>
          <t>[S209:web:1 | Apple Disease - Marssonina Blotch | Overview | United States - Pennsylvania | date June 1, 2026]
[S209:web:2 | Apple Disease - Marssonina Blotch | Marssonina Blotch Symptoms on Apple Trees | United States - Pennsylvania | date June 1, 2026]
[S209:web:3 | Apple Disease - Marssonina Blotch | Diplocarpon coronariae Disease Cycle | United States - Pennsylvania | date June 1, 2026]
[S209:web:4 | Apple Disease - Marssonina Blotch | Marssonina Blotch Management | United States - Pennsylvania | date June 1, 2026]
[S248:web:2 | Pome Fruit Disease - Black Rot and Frogeye Leaf Spot | Symptoms | United States - Pennsylvania | date June 26, 2024]
[S174:web:2 | Fact Sheet: Apple Scab | What does apple scab look like? | United States | date unknown]
[passage text omitted for copyright; see the chunk ids above and data/registers/source_register.json]</t>
        </is>
      </c>
      <c r="K8" s="6" t="inlineStr">
        <is>
          <t>https://extension.psu.edu/apple-disease-marssonina-blotch
https://extension.psu.edu/pome-fruit-disease-black-rot-and-frogeye-leaf-spot
https://blogs.cornell.edu/applevarietydatabase/fact-sheet-apple-scab/</t>
        </is>
      </c>
      <c r="L8" s="6" t="inlineStr">
        <is>
          <t>Retrieval rank of cited passage: 1
#1 Pc857494577bd34fb:p26:c1 (0.768)Apple IPM for Beginners | Summer diseases
#2 S001:web:1 (0.768)Apple Scab | Symptoms and Signs
#3 S250:web:2 (0.767)Pome Fruit Disease - Rust | Symptoms
#4 S212:web:2 (0.765)Apple Diseases - Fruit Rots, Control at Apple Harvest (and Postharvest) | Necrotic Leaf Blotch vs. Gomerella Leaf Spot
[passage text omitted for copyright; see the chunk ids above and data/registers/source_register.json]</t>
        </is>
      </c>
      <c r="M8" s="6" t="inlineStr">
        <is>
          <t>✓</t>
        </is>
      </c>
      <c r="N8" s="6" t="inlineStr">
        <is>
          <t>NA</t>
        </is>
      </c>
      <c r="O8" s="6" t="inlineStr">
        <is>
          <t>✓</t>
        </is>
      </c>
      <c r="P8" s="6" t="inlineStr">
        <is>
          <t>✓</t>
        </is>
      </c>
      <c r="Q8" s="6" t="inlineStr">
        <is>
          <t>✓</t>
        </is>
      </c>
      <c r="R8" s="6" t="inlineStr">
        <is>
          <t>✓</t>
        </is>
      </c>
      <c r="S8" s="6" t="inlineStr">
        <is>
          <t>Passed</t>
        </is>
      </c>
      <c r="T8" s="6" t="n"/>
      <c r="U8" s="6" t="inlineStr">
        <is>
          <t>Wenyu Wu</t>
        </is>
      </c>
      <c r="V8" s="7"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8" customWidth="1" min="1" max="1"/>
  </cols>
  <sheetData>
    <row r="1">
      <c r="A1" t="inlineStr">
        <is>
          <t>Reviewer</t>
        </is>
      </c>
      <c r="B1" t="inlineStr">
        <is>
          <t>Wenyu Wu</t>
        </is>
      </c>
    </row>
    <row r="2">
      <c r="A2" t="inlineStr">
        <is>
          <t>Questions</t>
        </is>
      </c>
      <c r="B2" t="n">
        <v>7</v>
      </c>
    </row>
    <row r="3">
      <c r="A3" t="inlineStr">
        <is>
          <t>Passed</t>
        </is>
      </c>
      <c r="B3">
        <f>COUNTIF(Review!S2:S8,"Passed")</f>
        <v/>
      </c>
    </row>
    <row r="4">
      <c r="A4" t="inlineStr">
        <is>
          <t>Passed after modification</t>
        </is>
      </c>
      <c r="B4">
        <f>COUNTIF(Review!S2:S8,"Passed after modification")</f>
        <v/>
      </c>
    </row>
    <row r="5">
      <c r="A5" t="inlineStr">
        <is>
          <t>Rejected</t>
        </is>
      </c>
      <c r="B5">
        <f>COUNTIF(Review!S2:S8,"Rejected")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2026-10-23T03:38:00Z</dcterms:created>
  <dcterms:modified xmlns:dcterms="http://purl.org/dc/terms/" xmlns:xsi="http://www.w3.org/2001/XMLSchema-instance" xsi:type="dcterms:W3CDTF">2026-10-30T01:57:52Z</dcterms:modified>
  <cp:lastModifiedBy>飞龙宝宝</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FEF00B86272B4661AA6C28FB77C051F3_12</vt:lpwstr>
  </property>
  <property name="KSOProductBuildVer" fmtid="{D5CDD505-2E9C-101B-9397-08002B2CF9AE}" pid="3">
    <vt:lpwstr xmlns:vt="http://schemas.openxmlformats.org/officeDocument/2006/docPropsVTypes">2052-12.1.0.29161</vt:lpwstr>
  </property>
  <property name="CalculationRule" fmtid="{D5CDD505-2E9C-101B-9397-08002B2CF9AE}" pid="4">
    <vt:i4 xmlns:vt="http://schemas.openxmlformats.org/officeDocument/2006/docPropsVTypes">0</vt:i4>
  </property>
</Properties>
</file>