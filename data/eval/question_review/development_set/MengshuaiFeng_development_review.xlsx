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RAG-Based-Apple-Pest-and-Disease-Question-Answering\data\eval\question_review\development_set\"/>
    </mc:Choice>
  </mc:AlternateContent>
  <bookViews>
    <workbookView windowWidth="17351" windowHeight="9060"/>
  </bookViews>
  <sheets>
    <sheet name="Instructions" sheetId="1" r:id="rId1"/>
    <sheet name="Review"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<sst xmlns="http://schemas.openxmlformats.org/spreadsheetml/2006/main" count="161" uniqueCount="100">
  <si>
    <t>Review workbook (read-only reference; make changes in the question bank workbook)</t>
  </si>
  <si>
    <t>One question per row. Left: question and reference answer; middle: cited passages and URLs; right: review columns.</t>
  </si>
  <si>
    <t>Check the reference answer sentence by sentence against the cited passages; open the original URL for full context when needed.</t>
  </si>
  <si>
    <t>Six checks, fill ✓ / ✗ / NA: 1 facts correct  2 numbers and units  3 qualifications kept  4 not beyond the source  5 required points sensible  6 question clear, no answer hints</t>
  </si>
  <si>
    <t>"Other retrieved passages" lists passages in the top 6 of vector retrieval that are not cited: if consistent with the reference answer they may be added to chunk_ids; conflicts are recorded in the change notes.</t>
  </si>
  <si>
    <t>For boundary questions, also confirm that the corpus really contains nothing that answers the "part to decline".</t>
  </si>
  <si>
    <t>Review result: Passed / Passed after modification / Rejected. For "Passed after modification", describe the change and update the question bank accordingly (keep required_points consistent with the reference answer, version + 1).</t>
  </si>
  <si>
    <t>The "Summary" sheet counts the results automatically, used in the report for the modification rate of LLM-drafted questions.</t>
  </si>
  <si>
    <t>question_id</t>
  </si>
  <si>
    <t>Question type</t>
  </si>
  <si>
    <t>Region</t>
  </si>
  <si>
    <t>Answerability</t>
  </si>
  <si>
    <t>Question</t>
  </si>
  <si>
    <t>Reference answer</t>
  </si>
  <si>
    <t>Required points</t>
  </si>
  <si>
    <t>Major errors</t>
  </si>
  <si>
    <t>Answerable / to decline</t>
  </si>
  <si>
    <t>Cited passages (text omitted)</t>
  </si>
  <si>
    <t>Original URL</t>
  </si>
  <si>
    <t>Other retrieved passages (text omitted)</t>
  </si>
  <si>
    <t>1 Facts correct</t>
  </si>
  <si>
    <t>2 Numbers and units</t>
  </si>
  <si>
    <t>3 Qualifications kept</t>
  </si>
  <si>
    <t>4 Not beyond the source</t>
  </si>
  <si>
    <t>5 Required points sensible</t>
  </si>
  <si>
    <t>6 Question clear</t>
  </si>
  <si>
    <t>Review result</t>
  </si>
  <si>
    <t>Change notes</t>
  </si>
  <si>
    <t>Reviewer</t>
  </si>
  <si>
    <t>D003</t>
  </si>
  <si>
    <t>symptoms_identification</t>
  </si>
  <si>
    <t>unspecified</t>
  </si>
  <si>
    <t>answerable</t>
  </si>
  <si>
    <t>My apple leaves have turned a dull bronze colour and I can see tiny red mites on them. What is causing this and what should I do?</t>
  </si>
  <si>
    <t>Visible red mites with leaf bronzing point to European red mite; severe infestations bronze the leaves, more on narrow-leaf varieties such as Red Delicious. (Apple rust mite also causes bronzing but is too small to see without a hand lens and gives a finer, silvery bronzing.) UC IPM: if summer control is needed, thresholds are about 10–30 mites per leaf depending on tree age, variety, condition and the number of predatory mites; it only occasionally becomes troublesome. To prevent problems next season, sample overwintering eggs on spurs in winter and use dormant oil before bloom, which is the preferred treatment.</t>
  </si>
  <si>
    <t>• identifies European red mite
• bronzing from mite feeding (worse on narrow-leaf varieties) and rust mite as a less likely alternative
• summer decision based on mites per leaf (about 10–30, considering predators) per UC IPM
• winter egg sampling and pre-bloom dormant oil for next season</t>
  </si>
  <si>
    <t>• diagnoses a fungal disease
• recommends spraying without considering mite numbers or predators
• presents a threshold as universal without noting it varies by region</t>
  </si>
  <si>
    <t/>
  </si>
  <si>
    <t>[S008:web:1 | European Red Mite | Description of the Pest | United States - California | date Text Updated: 03/09; Treatment Table Updated: 10/15]
[S008:web:2 | European Red Mite | Damage | United States - California | date Text Updated: 03/09; Treatment Table Updated: 10/15]
[S008:web:3 | European Red Mite | Management | United States - California | date Text Updated: 03/09; Treatment Table Updated: 10/15]
[S008:web:7 | European Red Mite | Monitoring and Treatment Decisions | United States - California | date Text Updated: 03/09; Treatment Table Updated: 10/15]
[S089:web:7 | Apple rust mite | Damage | United States - Pacific Northwest | date by Elizabeth H. Beers , George N. Oldfiield, and Peter H. Westigard, originally published 1993]
[S251:web:2 | Tree Fruit Mite Pest - Apple Rust Mite | Description and life cycle | United States - Pennsylvania | date October 30, 2023]
[passage text omitted for copyright; see the chunk ids above and data/registers/source_register.json]</t>
  </si>
  <si>
    <t>https://ipm.ucanr.edu/agriculture/apple/european-red-mite/
https://treefruit.wsu.edu/crop-protection/opm/apple-rust-mite/
https://extension.psu.edu/tree-fruit-mite-pest-apple-rust-mite</t>
  </si>
  <si>
    <t>Retrieval rank of cited passage: 3
#1 S251:web:3 (0.787)Tree Fruit Mite Pest - Apple Rust Mite | Feeding
#2 Pc857494577bd34fb:p36:c1 (0.754)Apple IPM for Beginners | Mites: damage and cycle
#3 S092:web:8 (0.743)Pearleaf and appleleaf blister mite | Damage
[passage text omitted for copyright; see the chunk ids above and data/registers/source_register.json]</t>
  </si>
  <si>
    <t>✓</t>
  </si>
  <si>
    <t>NA</t>
  </si>
  <si>
    <t>Passed</t>
  </si>
  <si>
    <t>Evidence and answer are broadly consistent; key symptoms, identification and management points are clear.</t>
  </si>
  <si>
    <t>Mengshuai Feng</t>
  </si>
  <si>
    <t>D005</t>
  </si>
  <si>
    <t>conditions_risk</t>
  </si>
  <si>
    <t>Some of my young apple trees wilted and died suddenly in spring, and the dry leaves stayed hanging on the tree. What could cause this and what should I do?</t>
  </si>
  <si>
    <t>Several causes in the evidence produce this. Phytophthora crown rot: trees collapse soon after the first warm spring weather and wilted, dried leaves remain attached; young trees are most often killed; it is favoured by 24 hours or more of saturated soil and water standing around the crown. Fire blight rootstock infection: develops near the graft union, with water-soaked, purplish-black bark and red-brown streaks under the bark; it is easily confused with Phytophthora collar rot, and M.9 and M.26 are highly susceptible. Ambrosia beetles can also make branches wilt and die, often mistaken for fire blight; look for galleries in the wood. Check the crown and graft union bark and look for beetle galleries in trunks and branches. If it is Phytophthora, improve drainage, keep water away from crowns, plant on berms and use shorter, more frequent irrigations; the pathogen cannot be eradicated once present.</t>
  </si>
  <si>
    <t>• lists Phytophthora crown/collar rot as a main candidate (sudden spring collapse, leaves stay attached, wet soil)
• lists fire blight rootstock infection near the graft union as a look-alike
• advises inspecting crown/graft-union bark (and beetle damage) to distinguish
• water management for Phytophthora: drainage, no standing water at crown, berms, short frequent irrigation</t>
  </si>
  <si>
    <t>• gives a single definitive diagnosis with no way to confirm it
• recommends more irrigation
• claims Phytophthora can be eradicated</t>
  </si>
  <si>
    <t>[S005:web:1 | Phytophthora Root and Crown Rot | Symptoms and Signs | United States - California | date Text Updated: 03/09; Treatment Table Updated: 10/15]
[S005:web:2 | Phytophthora Root and Crown Rot | Management | United States - California | date Text Updated: 03/09; Treatment Table Updated: 10/15]
[S015:web:7 | Fire Blight of Apple and Pear | Rootstock infections | United States - Pacific Northwest | date unknown]
[S140:web:14 | Shothole borer, Ambrosia beetle | Ambrosia beetles | United States - Pacific Northwest | date by Mike Doerr and Phil VanBuskirk, originally published 1993]
[passage text omitted for copyright; see the chunk ids above and data/registers/source_register.json]</t>
  </si>
  <si>
    <t>https://ipm.ucanr.edu/agriculture/apple/phytophthora-root-and-crown-rot/
https://treefruit.wsu.edu/crop-protection/disease-management/fire-blight/
https://treefruit.wsu.edu/crop-protection/opm/shothole-borers/</t>
  </si>
  <si>
    <t>Retrieval rank of cited passage: 1
#1 S073:web:2 (0.715)Apple Replant Disease | Symptoms
#2 S210:web:3 (0.713)Apple Disease - Powdery Mildew | Disease Cycle
#3 S210:web:1 (0.712)Apple Disease - Powdery Mildew | Overview
#4 S042:web:2 (0.709)Cribrate Weevil | Damage
#5 Pbb050e80247f328d:p35:c1 (0.708)IPM Manual for Minnesota Apple Orchards | Historical Minnesota apple biology/monitoring; 2007 conditions
[passage text omitted for copyright; see the chunk ids above and data/registers/source_register.json]</t>
  </si>
  <si>
    <t>D009</t>
  </si>
  <si>
    <t>management_strategy</t>
  </si>
  <si>
    <t>In spring, caterpillars are rolling the leaves and flower clusters together on my apple trees. What should I do?</t>
  </si>
  <si>
    <t>These are leafrollers, for example fruittree leafroller (green body, black head) or obliquebanded leafroller, which web leaves and blossom clusters and can scar young fruit. UC IPM: sample 100 fruit clusters per block at green tip; if none are found resample a week later; if more than one larva is found, treat before pink bud. Young larvae are easiest to control before they build leaf nests, and infestations are often patchy and can be spot treated. General predators such as lacewings and lady beetles help. For next season, a dormant oil spray thorough enough to cover the egg masses usually controls fruittree leafroller. (Apple ermine moth builds communal silk tents instead of individual rolled leaves.)</t>
  </si>
  <si>
    <t>• identifies leafroller caterpillars (e.g. fruittree or obliquebanded leafroller)
• sample fruit clusters (100 per block) and treat before pink if more than one larva (UC IPM)
• target young larvae before nests; spot-treat patchy infestations; predators help
• dormant oil covering egg masses for next season</t>
  </si>
  <si>
    <t>• identifies them as codling moth larvae
• recommends waiting until fruit damage appears before acting</t>
  </si>
  <si>
    <t>[S044:web:1 | Fruittree Leafroller | Description of the Pest | United States - California | date Text Updated: 03/09; Treatment Table Updated: 10/15]
[S044:web:2 | Fruittree Leafroller | Damage | United States - California | date Text Updated: 03/09; Treatment Table Updated: 10/15]
[S044:web:3 | Fruittree Leafroller | Management | United States - California | date Text Updated: 03/09; Treatment Table Updated: 10/15]
[S044:web:4 | Fruittree Leafroller | Biological Control | United States - California | date Text Updated: 03/09; Treatment Table Updated: 10/15]
[S044:web:6 | Fruittree Leafroller | Monitoring and Treatment Decisions | United States - California | date Text Updated: 03/09; Treatment Table Updated: 10/15]
[Pc857494577bd34fb:p30:c1 | Apple IPM for Beginners | Worms in apple fruit | United States - New York | date 2014]
[S085:web:7 | Apple ermine moth | Life history | United States - Pacific Northwest | date by Eric LaGasa, Tom R. Unruh, and Mike Haskett, originally published 1993]
[passage text omitted for copyright; see the chunk ids above and data/registers/source_register.json]</t>
  </si>
  <si>
    <t>https://ipm.ucanr.edu/agriculture/apple/fruittree-leafroller/
https://blogs.cornell.edu/newfruit/files/2016/12/Apple_IPM_Beginners-21ahj65.pdf
https://treefruit.wsu.edu/crop-protection/opm/apple-ermine-moth/</t>
  </si>
  <si>
    <t>Retrieval rank of cited passage: 1
#1 S236:web:4 (0.754)Tree Fruit Insect Pest - Rosy Apple Aphid | Egg hatch and feeding
#2 Pac2f744e6d94a879:p45:c1 (0.752)Crop Profile for Apple in Canada, 2022 (Sixth Edition, 2023) | Apple Leaf Curling Midge (Dasineura mali); biology/cultural management, Canada 2023
#3 S245:web:3 (0.750)Tree Fruit Insect Pest -Tufted Apple Bud Moth | Description and Life Cycle
#4 Pbb050e80247f328d:p24:c1 (0.748)IPM Manual for Minnesota Apple Orchards | Historical Minnesota apple biology/monitoring; 2007 conditions
[passage text omitted for copyright; see the chunk ids above and data/registers/source_register.json]</t>
  </si>
  <si>
    <t>D012</t>
  </si>
  <si>
    <t>postharvest</t>
  </si>
  <si>
    <t>Some of my stored apples have soft rot with blue-green mould on the bruises. How do I prevent this?</t>
  </si>
  <si>
    <t>This is blue mold (Penicillium spp.), which enters through wounds and bruises from picking and handling; spores live in storage-room air, walls, floors and bins and spread through dump-tank and flume water. All commercial cultivars are susceptible. Prevention: pick and transfer fruit carefully to avoid bruises and punctures, harvest at proper maturity, use clean bins, keep fruit cool and deliver it quickly; clean and sanitise storage rooms and bins at least once a season, and sanitise the packing line regularly. Postharvest sanitation has more impact than orchard sanitation for blue mold.</t>
  </si>
  <si>
    <t>• identifies blue mold entering through wounds/bruises
• spores in storage rooms, bins and packing water
• careful handling to avoid bruising; harvest at proper maturity
• sanitise rooms, bins and packing line (at least once a season)</t>
  </si>
  <si>
    <t>• states blue mold mainly infects fruit on the tree
• recommends orchard sprays as the main control</t>
  </si>
  <si>
    <t>[S017:web:3 | Blue Mold | Symptoms | United States - Pacific Northwest | date 2020-04]
[S017:web:10 | Blue Mold | Infection and Disease Cycle | United States - Pacific Northwest | date 2020-04]
[S017:web:11 | Blue Mold | Cultural Controls | United States - Pacific Northwest | date 2020-04]
[S212:web:4 | Apple Diseases - Fruit Rots, Control at Apple Harvest (and Postharvest) | Minimizing Postharvest Fruit Rots | United States - Pennsylvania | date June 29, 2026]
[passage text omitted for copyright; see the chunk ids above and data/registers/source_register.json]</t>
  </si>
  <si>
    <t>https://treefruit.wsu.edu/crop-protection/disease-management/blue-mold/
https://extension.psu.edu/apple-diseases-fruit-rots-control-at-apple-harvest-and-postharvest</t>
  </si>
  <si>
    <t>Retrieval rank of cited passage: 2
#1 Pac2f744e6d94a879:p34:c1 (0.808)Crop Profile for Apple in Canada, 2022 (Sixth Edition, 2023) | Post-Harvest Diseases: Blue Mold (Penicillium expansum and other
#2 P1238bed29496c60c:p7:c3 (0.776)The incidence of storage rots after postharvest apple washing | Discussion/conclusion – dated experimental context
#3 P8f0bceeb6a5ac6cb:p1:c1 (0.771)Yeast isolates to inhibit blue mould and bitter rot of apples | Abstract – dated research findings
#4 P1238bed29496c60c:p1:c2 (0.769)The incidence of storage rots after postharvest apple washing | Abstract – dated research findings
#5 S180:web:1 (0.763)Fact Sheet: Blue Mold | What is blue mold?
[passage text omitted for copyright; see the chunk ids above and data/registers/source_register.json]</t>
  </si>
  <si>
    <t>D013</t>
  </si>
  <si>
    <t>monitoring_sampling</t>
  </si>
  <si>
    <t>I grow apples in Washington State. How do I know when to start spraying for apple maggot?</t>
  </si>
  <si>
    <t>For Washington, WSU advises controlling apple maggot in the adult stage before eggs are laid, and, if the orchard is threatened, contact insecticide applications starting 7–10 days after adults are predicted to emerge from the soil, using the emergence model in the WSU Decision Aid System; adults emerge from late June or early July and can be active until October; yellow sticky panels and red spheres are used as traps, and organic control is difficult because few products are approved. Other regions use trap-based triggers instead, for example Penn State: hang three sticky red spheres (baited) per block near the border from about mid-June, check weekly, and spray when an average of five flies per sphere are caught. UC IPM: yellow sticky traps in abandoned or unsprayed trees show first emergence, and red spheres in the orchard show the start of egg laying; treat when the first fly is found; only provisional thresholds exist. Timing and thresholds vary by region.</t>
  </si>
  <si>
    <t>• control is aimed at adult flies before egg laying
• Washington (WSU): start 7–10 days after predicted adult emergence, using the WSU Decision Aid System model
• adult emergence from late June/early July, active until October; traps (yellow panels, red spheres) support monitoring
• notes that triggers differ by region (e.g. trap-based triggers such as about 5 flies per red sphere elsewhere)</t>
  </si>
  <si>
    <t>• targets larvae inside fruit as the main control
• presents one region's threshold as universal</t>
  </si>
  <si>
    <t>[S077:web:2 | Apple maggot | Control of Apple Maggot | United States - Pacific Northwest | date unknown]
[S077:web:1 | Apple maggot | Apple Maggot Biology | United States - Pacific Northwest | date unknown]
[S218:web:4 | Tree Fruit Insect Pest - Apple Maggot | Monitoring | United States - Pennsylvania | date February 25, 2026]
[S007:web:6 | Apple Maggot | Monitoring and Treatment Decisions | United States - California | date Text Updated: 03/09; Treatment Table Updated: 10/15]
[passage text omitted for copyright; see the chunk ids above and data/registers/source_register.json]</t>
  </si>
  <si>
    <t>https://treefruit.wsu.edu/crop-protection/opm/am-control_waapple-growers/
https://extension.psu.edu/tree-fruit-insect-pest-apple-maggot
https://ipm.ucanr.edu/agriculture/apple/apple-maggot/</t>
  </si>
  <si>
    <t>Retrieval rank of cited passage: 1
#1 S218:web:6 (0.791)Tree Fruit Insect Pest - Apple Maggot | Chemical Management
#2 S007:web:3 (0.776)Apple Maggot | Management
#3 S077:web:3 (0.768)Apple maggot | Materials available for apple
[passage text omitted for copyright; see the chunk ids above and data/registers/source_register.json]</t>
  </si>
  <si>
    <t>✗</t>
  </si>
  <si>
    <t>Passed after modification</t>
  </si>
  <si>
    <t>State that the Washington State adult-monitoring and spray triggers depend on trap type, orchard history and local labels.</t>
  </si>
  <si>
    <t>D016</t>
  </si>
  <si>
    <t>boundary_insufficient</t>
  </si>
  <si>
    <t>New Zealand</t>
  </si>
  <si>
    <t>partial</t>
  </si>
  <si>
    <t>I'm in New Zealand. Something is eating holes in my apple leaves at night and damaging the young fruit. What should I spray and when?</t>
  </si>
  <si>
    <t>Night feeding that holes leaves and damages developing fruit in New Zealand fits bronze beetle (Eucolaspis sp.), whose adults feed at night leaving holes in leaves and damage developing fruit. The evidence contains no reviewed New Zealand spray product or timing, so that part cannot be answered. It does contain New Zealand non-chemical evidence: larvae live in the soil feeding on grass and clover roots, and in Hawke's Bay organic orchard trials cultivating the soil under the trees twice, starting around mid-October to target pupae in the top 70 mm with a fine tilth, reduced fruit damage by 46–61%; results varied, and monitoring beetle development helps time cultivation.</t>
  </si>
  <si>
    <t>• suggests bronze beetle as the likely cause (night-feeding adults)
• does not present specific spray products or timing as established NZ advice (says local confirmation is needed)
• soil cultivation under the trees (around mid-October, top ~70 mm, twice) can reduce fruit damage (NZ trials: 46–61%)
• does not invent a product, rate or date</t>
  </si>
  <si>
    <t>• gives a specific insecticide, rate or spray date as an NZ recommendation
• offers no management option at all</t>
  </si>
  <si>
    <t>Answerable: likely cause, New Zealand soil cultivation trial; decline: products and spray timing; reason: the corpus has no New Zealand chemical control evidence</t>
  </si>
  <si>
    <t>[S202:web:4 | Bronze beetle | Life history | New Zealand | date unknown]
[Pce0fa3cd01750de0:p1:c1 | Managing bronze beetle in Hawkes Bay organic apple orchards using soil cultivation | Abstract – dated research findings | New Zealand - Hawke's Bay organic apple orchards | date 2009]
[Pce0fa3cd01750de0:p5:c2 | Managing bronze beetle in Hawkes Bay organic apple orchards using soil cultivation | Discussion/conclusion – dated experimental context | New Zealand - Hawke's Bay organic apple orchards | date 2009]
[Pce0fa3cd01750de0:p6:c1 | Managing bronze beetle in Hawkes Bay organic apple orchards using soil cultivation | Discussion/conclusion – dated experimental context | New Zealand - Hawke's Bay organic apple orchards | date 2009]
[passage text omitted for copyright; see the chunk ids above and data/registers/source_register.json]</t>
  </si>
  <si>
    <t>https://www.landcareresearch.co.nz/tools-and-resources/identification/what-is-this-bug/bronze-beetle/
https://www.journal.nzpps.org/index.php/nzpp/article/view/4818</t>
  </si>
  <si>
    <t>cited passage not in the top 6
#1 S144:web:16 (0.759)Stink bugs | Management
#2 S241:web:3 (0.754)Tree Fruit Insect Pest - Variegated Leafroller | Monitoring and Management
#3 S236:web:1 (0.751)Tree Fruit Insect Pest - Rosy Apple Aphid | Overview
#4 S218:web:6 (0.750)Tree Fruit Insect Pest - Apple Maggot | Chemical Management
#5 S218:web:4 (0.750)Tree Fruit Insect Pest - Apple Maggot | Monitoring
#6 S088:web:11 (0.748)Apple mealybug | Management
[passage text omitted for copyright; see the chunk ids above and data/registers/source_register.json]</t>
  </si>
  <si>
    <t>Evidence and answer are broadly consistent; key symptoms, identification and management points are clear. Re-check whether the original corpus contains material for the part to decline; the current excerpts do not prove that the whole corpus lacks such evidence.</t>
  </si>
  <si>
    <t>Questions</t>
  </si>
  <si>
    <t>Rejected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</si>
</sst>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Calibri"/>
      <charset val="134"/>
    </font>
    <font>
      <sz val="11"/>
      <color theme="1"/>
      <name val="Calibri"/>
      <charset val="134"/>
    </font>
    <font>
      <sz val="11"/>
      <color rgb="FF0563C1"/>
      <name val="Calibri"/>
      <charset val="134"/>
    </font>
    <font>
      <b/>
      <sz val="13"/>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9">
    <xf numFmtId="0" fontId="0" fillId="0" borderId="0" xfId="0"/>
    <xf numFmtId="0" fontId="0" fillId="0" borderId="0" xfId="0" applyAlignment="1">
      <alignment horizontal="center"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Font="1" applyFill="1" applyAlignment="1">
      <alignment horizontal="center" vertical="center" wrapText="1"/>
    </xf>
    <xf numFmtId="0" fontId="2" fillId="0" borderId="0" xfId="0" applyFont="1" applyAlignment="1">
      <alignment horizontal="center" vertical="center"/>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tabSelected="1" workbookViewId="0">
      <selection activeCell="A4" sqref="A4"/>
    </sheetView>
  </sheetViews>
  <sheetFormatPr defaultColWidth="9" defaultRowHeight="14.4"/>
  <cols>
    <col min="1" max="1" width="120" customWidth="1"/>
  </cols>
  <sheetData>
    <row r="1" ht="17.4" spans="1:1">
      <c r="A1" s="8" t="s">
        <v>0</v>
      </c>
    </row>
    <row r="3" spans="1:1">
      <c r="A3" t="s">
        <v>1</v>
      </c>
    </row>
    <row r="4" spans="1:1">
      <c r="A4" t="s">
        <v>2</v>
      </c>
    </row>
    <row r="5" spans="1:1">
      <c r="A5" t="s">
        <v>3</v>
      </c>
    </row>
    <row r="6" spans="1:1">
      <c r="A6" t="s">
        <v>4</v>
      </c>
    </row>
    <row r="7" spans="1:1">
      <c r="A7" t="s">
        <v>5</v>
      </c>
    </row>
    <row r="8" spans="1:1">
      <c r="A8" t="s">
        <v>6</v>
      </c>
    </row>
    <row r="9" spans="1:1">
      <c r="A9"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
  <sheetViews>
    <sheetView workbookViewId="0">
      <pane xSplit="1" ySplit="1" topLeftCell="K6" activePane="bottomRight" state="frozen"/>
      <selection/>
      <selection pane="topRight"/>
      <selection pane="bottomLeft"/>
      <selection pane="bottomRight" activeCell="S6" sqref="S6"/>
    </sheetView>
  </sheetViews>
  <sheetFormatPr defaultColWidth="9" defaultRowHeight="14.4" outlineLevelRow="6"/>
  <cols>
    <col min="1" max="1" width="13.4444444444444" customWidth="1"/>
    <col min="2" max="2" width="14" customWidth="1"/>
    <col min="3" max="3" width="16" customWidth="1"/>
    <col min="4" max="4" width="12.3333333333333" customWidth="1"/>
    <col min="5" max="5" width="40" customWidth="1"/>
    <col min="6" max="6" width="55" customWidth="1"/>
    <col min="7" max="7" width="40" customWidth="1"/>
    <col min="8" max="8" width="30" customWidth="1"/>
    <col min="10" max="10" width="80" customWidth="1"/>
    <col min="11" max="11" width="30" customWidth="1"/>
    <col min="12" max="12" width="60" customWidth="1"/>
    <col min="13" max="13" width="7" customWidth="1"/>
    <col min="19" max="19" width="12" customWidth="1"/>
    <col min="20" max="20" width="40" customWidth="1"/>
    <col min="21" max="21" width="13.8888888888889" customWidth="1"/>
  </cols>
  <sheetData>
    <row r="1" ht="57.6" spans="1:21">
      <c r="A1" s="2" t="s">
        <v>8</v>
      </c>
      <c r="B1" s="2" t="s">
        <v>9</v>
      </c>
      <c r="C1" s="2" t="s">
        <v>10</v>
      </c>
      <c r="D1" s="2" t="s">
        <v>11</v>
      </c>
      <c r="E1" s="2" t="s">
        <v>12</v>
      </c>
      <c r="F1" s="2" t="s">
        <v>13</v>
      </c>
      <c r="G1" s="2" t="s">
        <v>14</v>
      </c>
      <c r="H1" s="2" t="s">
        <v>15</v>
      </c>
      <c r="I1" s="2" t="s">
        <v>16</v>
      </c>
      <c r="J1" s="2" t="s">
        <v>17</v>
      </c>
      <c r="K1" s="2" t="s">
        <v>18</v>
      </c>
      <c r="L1" s="2" t="s">
        <v>19</v>
      </c>
      <c r="M1" s="3" t="s">
        <v>20</v>
      </c>
      <c r="N1" s="3" t="s">
        <v>21</v>
      </c>
      <c r="O1" s="3" t="s">
        <v>22</v>
      </c>
      <c r="P1" s="3" t="s">
        <v>23</v>
      </c>
      <c r="Q1" s="3" t="s">
        <v>24</v>
      </c>
      <c r="R1" s="3" t="s">
        <v>25</v>
      </c>
      <c r="S1" s="3" t="s">
        <v>26</v>
      </c>
      <c r="T1" s="3" t="s">
        <v>27</v>
      </c>
      <c r="U1" s="3" t="s">
        <v>28</v>
      </c>
    </row>
    <row r="2" ht="150" customHeight="1" spans="1:21">
      <c r="A2" s="4" t="s">
        <v>29</v>
      </c>
      <c r="B2" s="4" t="s">
        <v>30</v>
      </c>
      <c r="C2" s="4" t="s">
        <v>31</v>
      </c>
      <c r="D2" s="4" t="s">
        <v>32</v>
      </c>
      <c r="E2" s="4" t="s">
        <v>33</v>
      </c>
      <c r="F2" s="4" t="s">
        <v>34</v>
      </c>
      <c r="G2" s="4" t="s">
        <v>35</v>
      </c>
      <c r="H2" s="4" t="s">
        <v>36</v>
      </c>
      <c r="I2" s="4" t="s">
        <v>37</v>
      </c>
      <c r="J2" s="4" t="s">
        <v>38</v>
      </c>
      <c r="K2" s="5" t="s">
        <v>39</v>
      </c>
      <c r="L2" s="4" t="s">
        <v>40</v>
      </c>
      <c r="M2" s="1" t="s">
        <v>41</v>
      </c>
      <c r="N2" s="1" t="s">
        <v>42</v>
      </c>
      <c r="O2" s="1" t="s">
        <v>41</v>
      </c>
      <c r="P2" s="1" t="s">
        <v>41</v>
      </c>
      <c r="Q2" s="1" t="s">
        <v>41</v>
      </c>
      <c r="R2" s="1" t="s">
        <v>41</v>
      </c>
      <c r="S2" s="1" t="s">
        <v>43</v>
      </c>
      <c r="T2" s="6" t="s">
        <v>44</v>
      </c>
      <c r="U2" s="7" t="s">
        <v>45</v>
      </c>
    </row>
    <row r="3" ht="150" customHeight="1" spans="1:21">
      <c r="A3" s="4" t="s">
        <v>46</v>
      </c>
      <c r="B3" s="4" t="s">
        <v>47</v>
      </c>
      <c r="C3" s="4" t="s">
        <v>31</v>
      </c>
      <c r="D3" s="4" t="s">
        <v>32</v>
      </c>
      <c r="E3" s="4" t="s">
        <v>48</v>
      </c>
      <c r="F3" s="4" t="s">
        <v>49</v>
      </c>
      <c r="G3" s="4" t="s">
        <v>50</v>
      </c>
      <c r="H3" s="4" t="s">
        <v>51</v>
      </c>
      <c r="I3" s="4" t="s">
        <v>37</v>
      </c>
      <c r="J3" s="4" t="s">
        <v>52</v>
      </c>
      <c r="K3" s="5" t="s">
        <v>53</v>
      </c>
      <c r="L3" s="4" t="s">
        <v>54</v>
      </c>
      <c r="M3" s="1" t="s">
        <v>41</v>
      </c>
      <c r="N3" s="1" t="s">
        <v>42</v>
      </c>
      <c r="O3" s="1" t="s">
        <v>41</v>
      </c>
      <c r="P3" s="1" t="s">
        <v>41</v>
      </c>
      <c r="Q3" s="1" t="s">
        <v>41</v>
      </c>
      <c r="R3" s="1" t="s">
        <v>41</v>
      </c>
      <c r="S3" s="1" t="s">
        <v>43</v>
      </c>
      <c r="T3" s="6" t="s">
        <v>44</v>
      </c>
      <c r="U3" s="7" t="s">
        <v>45</v>
      </c>
    </row>
    <row r="4" ht="150" customHeight="1" spans="1:21">
      <c r="A4" s="4" t="s">
        <v>55</v>
      </c>
      <c r="B4" s="4" t="s">
        <v>56</v>
      </c>
      <c r="C4" s="4" t="s">
        <v>31</v>
      </c>
      <c r="D4" s="4" t="s">
        <v>32</v>
      </c>
      <c r="E4" s="4" t="s">
        <v>57</v>
      </c>
      <c r="F4" s="4" t="s">
        <v>58</v>
      </c>
      <c r="G4" s="4" t="s">
        <v>59</v>
      </c>
      <c r="H4" s="4" t="s">
        <v>60</v>
      </c>
      <c r="I4" s="4" t="s">
        <v>37</v>
      </c>
      <c r="J4" s="4" t="s">
        <v>61</v>
      </c>
      <c r="K4" s="5" t="s">
        <v>62</v>
      </c>
      <c r="L4" s="4" t="s">
        <v>63</v>
      </c>
      <c r="M4" s="1" t="s">
        <v>41</v>
      </c>
      <c r="N4" s="1" t="s">
        <v>42</v>
      </c>
      <c r="O4" s="1" t="s">
        <v>41</v>
      </c>
      <c r="P4" s="1" t="s">
        <v>41</v>
      </c>
      <c r="Q4" s="1" t="s">
        <v>41</v>
      </c>
      <c r="R4" s="1" t="s">
        <v>41</v>
      </c>
      <c r="S4" s="1" t="s">
        <v>43</v>
      </c>
      <c r="T4" s="6" t="s">
        <v>44</v>
      </c>
      <c r="U4" s="7" t="s">
        <v>45</v>
      </c>
    </row>
    <row r="5" ht="150" customHeight="1" spans="1:21">
      <c r="A5" s="4" t="s">
        <v>64</v>
      </c>
      <c r="B5" s="4" t="s">
        <v>65</v>
      </c>
      <c r="C5" s="4" t="s">
        <v>31</v>
      </c>
      <c r="D5" s="4" t="s">
        <v>32</v>
      </c>
      <c r="E5" s="4" t="s">
        <v>66</v>
      </c>
      <c r="F5" s="4" t="s">
        <v>67</v>
      </c>
      <c r="G5" s="4" t="s">
        <v>68</v>
      </c>
      <c r="H5" s="4" t="s">
        <v>69</v>
      </c>
      <c r="I5" s="4" t="s">
        <v>37</v>
      </c>
      <c r="J5" s="4" t="s">
        <v>70</v>
      </c>
      <c r="K5" s="5" t="s">
        <v>71</v>
      </c>
      <c r="L5" s="4" t="s">
        <v>72</v>
      </c>
      <c r="M5" s="1" t="s">
        <v>41</v>
      </c>
      <c r="N5" s="1" t="s">
        <v>42</v>
      </c>
      <c r="O5" s="1" t="s">
        <v>41</v>
      </c>
      <c r="P5" s="1" t="s">
        <v>41</v>
      </c>
      <c r="Q5" s="1" t="s">
        <v>41</v>
      </c>
      <c r="R5" s="1" t="s">
        <v>41</v>
      </c>
      <c r="S5" s="1" t="s">
        <v>43</v>
      </c>
      <c r="T5" s="6" t="s">
        <v>44</v>
      </c>
      <c r="U5" s="7" t="s">
        <v>45</v>
      </c>
    </row>
    <row r="6" ht="150" customHeight="1" spans="1:21">
      <c r="A6" s="4" t="s">
        <v>73</v>
      </c>
      <c r="B6" s="4" t="s">
        <v>74</v>
      </c>
      <c r="C6" s="4" t="s">
        <v>31</v>
      </c>
      <c r="D6" s="4" t="s">
        <v>32</v>
      </c>
      <c r="E6" s="4" t="s">
        <v>75</v>
      </c>
      <c r="F6" s="4" t="s">
        <v>76</v>
      </c>
      <c r="G6" s="4" t="s">
        <v>77</v>
      </c>
      <c r="H6" s="4" t="s">
        <v>78</v>
      </c>
      <c r="I6" s="4" t="s">
        <v>37</v>
      </c>
      <c r="J6" s="4" t="s">
        <v>79</v>
      </c>
      <c r="K6" s="5" t="s">
        <v>80</v>
      </c>
      <c r="L6" s="4" t="s">
        <v>81</v>
      </c>
      <c r="M6" s="1" t="s">
        <v>41</v>
      </c>
      <c r="N6" s="1" t="s">
        <v>42</v>
      </c>
      <c r="O6" s="1" t="s">
        <v>82</v>
      </c>
      <c r="P6" s="1" t="s">
        <v>41</v>
      </c>
      <c r="Q6" s="1" t="s">
        <v>41</v>
      </c>
      <c r="R6" s="1" t="s">
        <v>41</v>
      </c>
      <c r="S6" s="6" t="s">
        <v>83</v>
      </c>
      <c r="T6" s="6" t="s">
        <v>84</v>
      </c>
      <c r="U6" s="7" t="s">
        <v>45</v>
      </c>
    </row>
    <row r="7" ht="150" customHeight="1" spans="1:21">
      <c r="A7" s="4" t="s">
        <v>85</v>
      </c>
      <c r="B7" s="4" t="s">
        <v>86</v>
      </c>
      <c r="C7" s="4" t="s">
        <v>87</v>
      </c>
      <c r="D7" s="4" t="s">
        <v>88</v>
      </c>
      <c r="E7" s="4" t="s">
        <v>89</v>
      </c>
      <c r="F7" s="4" t="s">
        <v>90</v>
      </c>
      <c r="G7" s="4" t="s">
        <v>91</v>
      </c>
      <c r="H7" s="4" t="s">
        <v>92</v>
      </c>
      <c r="I7" s="4" t="s">
        <v>93</v>
      </c>
      <c r="J7" s="4" t="s">
        <v>94</v>
      </c>
      <c r="K7" s="5" t="s">
        <v>95</v>
      </c>
      <c r="L7" s="4" t="s">
        <v>96</v>
      </c>
      <c r="M7" s="1" t="s">
        <v>41</v>
      </c>
      <c r="N7" s="1" t="s">
        <v>42</v>
      </c>
      <c r="O7" s="1" t="s">
        <v>41</v>
      </c>
      <c r="P7" s="1" t="s">
        <v>41</v>
      </c>
      <c r="Q7" s="1" t="s">
        <v>41</v>
      </c>
      <c r="R7" s="1" t="s">
        <v>41</v>
      </c>
      <c r="S7" s="1" t="s">
        <v>43</v>
      </c>
      <c r="T7" s="6" t="s">
        <v>97</v>
      </c>
      <c r="U7" s="7" t="s">
        <v>45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24" sqref="A24"/>
    </sheetView>
  </sheetViews>
  <sheetFormatPr defaultColWidth="9" defaultRowHeight="14.4" outlineLevelRow="4" outlineLevelCol="1"/>
  <cols>
    <col min="1" max="1" width="28" customWidth="1"/>
    <col min="2" max="2" width="16.7777777777778" customWidth="1"/>
  </cols>
  <sheetData>
    <row r="1" spans="1:2">
      <c r="A1" s="1" t="s">
        <v>28</v>
      </c>
      <c r="B1" s="1" t="s">
        <v>45</v>
      </c>
    </row>
    <row r="2" spans="1:2">
      <c r="A2" s="1" t="s">
        <v>98</v>
      </c>
      <c r="B2" s="1">
        <v>6</v>
      </c>
    </row>
    <row r="3" spans="1:2">
      <c r="A3" s="1" t="s">
        <v>43</v>
      </c>
      <c r="B3" s="1">
        <f>COUNTIF(Review!S2:S7,"Passed")</f>
        <v>5</v>
      </c>
    </row>
    <row r="4" spans="1:2">
      <c r="A4" s="1" t="s">
        <v>83</v>
      </c>
      <c r="B4" s="1">
        <f>COUNTIF(Review!S2:S7,"Passed after modification")</f>
        <v>1</v>
      </c>
    </row>
    <row r="5" spans="1:2">
      <c r="A5" s="1" t="s">
        <v>99</v>
      </c>
      <c r="B5" s="1">
        <f>COUNTIF(Review!S2:S7,"Rejected")</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Instructions</vt:lpstr>
      <vt:lpstr>Review</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2026-10-23T03:38:00Z</dcterms:created>
  <dcterms:modified xsi:type="dcterms:W3CDTF">2026-10-30T02:58:18Z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7C96376685F04A588808DAC600F53D1F_12</vt:lpwstr>
  </property>
  <property fmtid="{D5CDD505-2E9C-101B-9397-08002B2CF9AE}" pid="3" name="KSOProductBuildVer">
    <vt:lpwstr>2052-12.1.0.29161</vt:lpwstr>
  </property>
  <property fmtid="{D5CDD505-2E9C-101B-9397-08002B2CF9AE}" pid="4" name="CalculationRule">
    <vt:i4>0</vt:i4>
  </property>
</Properties>
</file>