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CodexWork\Working\RAG-Based-Apple-Pest-and-Disease-Question-Answering\data\eval\question_review\test_set\"/>
    </mc:Choice>
  </mc:AlternateContent>
  <bookViews>
    <workbookView windowWidth="23040" windowHeight="9060" activeTab="1"/>
  </bookViews>
  <sheets>
    <sheet name="Instructions" sheetId="1" r:id="rId1"/>
    <sheet name="Review" sheetId="2" r:id="rId2"/>
    <sheet name="Summary"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<sst xmlns="http://schemas.openxmlformats.org/spreadsheetml/2006/main" count="350" uniqueCount="173">
  <si>
    <t>Review workbook (read-only reference; make changes in the question bank workbook)</t>
  </si>
  <si>
    <t>One question per row. Left: question and reference answer; middle: cited passages and URLs; right: review columns.</t>
  </si>
  <si>
    <t>Check the reference answer sentence by sentence against the cited passages; open the original URL for full context when needed.</t>
  </si>
  <si>
    <t>Six checks, fill ✓ / ✗ / NA: 1 facts correct  2 numbers and units  3 qualifications kept  4 not beyond the source  5 required points sensible  6 question clear, no answer hints</t>
  </si>
  <si>
    <t>"Other retrieved passages" lists passages in the top 6 of vector retrieval that are not cited: if consistent with the reference answer they may be added to chunk_ids; conflicts are recorded in the change notes.</t>
  </si>
  <si>
    <t>For boundary questions, also confirm that the corpus really contains nothing that answers the "part to decline".</t>
  </si>
  <si>
    <t>Review result: Passed / Passed after modification / Rejected. For "Passed after modification", describe the change and update the question bank accordingly (keep required_points consistent with the reference answer, version + 1).</t>
  </si>
  <si>
    <t>The "Summary" sheet counts the results automatically, used in the report for the modification rate of LLM-drafted questions.</t>
  </si>
  <si>
    <t>question_id</t>
  </si>
  <si>
    <t>Question type</t>
  </si>
  <si>
    <t>Region</t>
  </si>
  <si>
    <t>Answerability</t>
  </si>
  <si>
    <t>Question</t>
  </si>
  <si>
    <t>Reference answer</t>
  </si>
  <si>
    <t>Required points</t>
  </si>
  <si>
    <t>Major errors</t>
  </si>
  <si>
    <t>Answerable / to decline</t>
  </si>
  <si>
    <t>Cited passages (text omitted)</t>
  </si>
  <si>
    <t>Original URL</t>
  </si>
  <si>
    <t>Other retrieved passages (text omitted)</t>
  </si>
  <si>
    <t>1 Facts correct</t>
  </si>
  <si>
    <t>2 Numbers and units</t>
  </si>
  <si>
    <t>3 Qualifications kept</t>
  </si>
  <si>
    <t>4 Not beyond the source</t>
  </si>
  <si>
    <t>5 Required points sensible</t>
  </si>
  <si>
    <t>6 Question clear</t>
  </si>
  <si>
    <t>Review result</t>
  </si>
  <si>
    <t>Change notes</t>
  </si>
  <si>
    <t>Reviewer</t>
  </si>
  <si>
    <t>T002</t>
  </si>
  <si>
    <t>symptoms_identification</t>
  </si>
  <si>
    <t>unspecified</t>
  </si>
  <si>
    <t>answerable</t>
  </si>
  <si>
    <t>In winter I see dark, sunken, cracked patches on some branches of my apple trees. What could they be?</t>
  </si>
  <si>
    <t>Several canker diseases produce this, so look closely before deciding. Fire blight overwintering cankers can be black, grey, violet or brown with dry sunken tissue, and reddish flecking under the bark at the edge of an active canker. European canker starts as small sunken areas at leaf scars, buds or wounds and develops concentric rings of cracking with swelling of the stem around it. Apple anthracnose cankers are elongated, sunken, orange to brown, with cracking around the margin. Black rot cankers are reddish brown and slightly sunken, sometimes expanding each year. In all cases cankers are inoculum sources, so the general response is to prune out cankered wood well into healthy tissue and destroy it.</t>
  </si>
  <si>
    <t>• recognises several canker causes rather than one definite diagnosis
• gives at least two distinguishing features (e.g. concentric rings at leaf scars for European canker; reddish flecking at margin for fire blight; orange-brown elongated for anthracnose)
• cankers act as inoculum sources
• prune out cankered wood into healthy tissue and destroy it</t>
  </si>
  <si>
    <t>• gives a single definitive diagnosis without distinguishing features
• says cankers can be left because they are harmless</t>
  </si>
  <si>
    <t/>
  </si>
  <si>
    <t>[S015:web:4 | Fire Blight of Apple and Pear | Overwintering cankers | United States - Pacific Northwest | date unknown]
[S004:web:1 | European Canker | Symptoms and Signs | United States - California | date Text Updated: 03/09; Treatment Table Updated: 10/15]
[S279:web:3 | European canker | Damage | New Zealand | date unknown]
[S072:web:3 | Apple Anthracnose | Apple Anthracnose Canker | United States - Pacific Northwest | date Published: June 2016]
[S248:web:2 | Pome Fruit Disease - Black Rot and Frogeye Leaf Spot | Symptoms | United States - Pennsylvania | date June 26, 2024]
[S279:web:6 | European canker | Cultural control | New Zealand | date unknown]
[S072:web:4 | Apple Anthracnose | Management in orchard | United States - Pacific Northwest | date Published: June 2016]
[passage text omitted for copyright; see the chunk ids above and data/registers/source_register.json]</t>
  </si>
  <si>
    <t>https://treefruit.wsu.edu/crop-protection/disease-management/fire-blight/
https://ipm.ucanr.edu/agriculture/apple/european-canker/
https://www.hortinfo.co.nz/textfiles/pdh301_59.htm
https://treefruit.wsu.edu/crop-protection/disease-management/apple-anthracnose/
https://extension.psu.edu/pome-fruit-disease-black-rot-and-frogeye-leaf-spot</t>
  </si>
  <si>
    <t>Retrieval rank of cited passage: 4
#1 S003:web:2 (0.733)Powdery Mildew | Comments on the Disease
#2 S001:web:1 (0.723)Apple Scab | Symptoms and Signs
#3 S250:web:2 (0.722)Pome Fruit Disease - Rust | Symptoms
#4 S073:web:2 (0.709)Apple Replant Disease | Symptoms
#5 S209:web:2 (0.707)Apple Disease - Marssonina Blotch | Marssonina Blotch Symptoms on Apple Trees
[passage text omitted for copyright; see the chunk ids above and data/registers/source_register.json]</t>
  </si>
  <si>
    <t>✓</t>
  </si>
  <si>
    <t>NA</t>
  </si>
  <si>
    <t>Passed</t>
  </si>
  <si>
    <t>Evidence and answer are broadly consistent; key symptoms, identification and management points are clear.</t>
  </si>
  <si>
    <t>Dongyang Chen</t>
  </si>
  <si>
    <t>T005</t>
  </si>
  <si>
    <t>Inside my apples there are brown winding trails and the flesh is breaking down, and the skin has small dimples. What is it?</t>
  </si>
  <si>
    <t>This fits apple maggot (the 'railroad worm'): females lay eggs singly under the skin, causing dimpling, and the maggots tunnel through the flesh leaving brown trails; bacteria associated with the maggots make the fruit rot internally. This differs from codling moth, whose larva tunnels to the core and pushes frass out of an entry hole. Apple maggot is controlled by targeting the adult flies before egg laying, timed with traps, and by removing abandoned apple trees and dropped fruit nearby.</t>
  </si>
  <si>
    <t>• identifies apple maggot
• egg-laying dimples and brown winding tunnels; internal rot
• distinguishes from codling moth (core feeding, frass)
• control targets adults before egg laying; remove abandoned hosts and dropped fruit</t>
  </si>
  <si>
    <t>• identifies codling moth as the cause
• recommends targeting larvae inside fruit</t>
  </si>
  <si>
    <t>[S007:web:2 | Apple Maggot | Damage | United States - California | date Text Updated: 03/09; Treatment Table Updated: 10/15]
[S077:web:1 | Apple maggot | Apple Maggot Biology | United States - Pacific Northwest | date unknown]
[S218:web:1 | Tree Fruit Insect Pest - Apple Maggot | Overview | United States - Pennsylvania | date February 25, 2026]
[S022:web:4 | Tree Fruit Insect Pest - Codling Moth | Damage | United States - Pennsylvania | date February 25, 2026]
[S218:web:6 | Tree Fruit Insect Pest - Apple Maggot | Chemical Management | United States - Pennsylvania | date February 25, 2026]
[S218:web:5 | Tree Fruit Insect Pest - Apple Maggot | Cultural Management | United States - Pennsylvania | date February 25, 2026]
[passage text omitted for copyright; see the chunk ids above and data/registers/source_register.json]</t>
  </si>
  <si>
    <t>https://ipm.ucanr.edu/agriculture/apple/apple-maggot/
https://treefruit.wsu.edu/crop-protection/opm/am-control_waapple-growers/
https://extension.psu.edu/tree-fruit-insect-pest-apple-maggot
https://extension.psu.edu/tree-fruit-insect-pest-codling-moth</t>
  </si>
  <si>
    <t>Retrieval rank of cited passage: 2
#1 S001:web:1 (0.729)Apple Scab | Symptoms and Signs
#2 S174:web:2 (0.703)Fact Sheet: Apple Scab | What does apple scab look like?
#3 S208:web:2 (0.701)Apple Disease - Core Rot | Symptoms
#4 S222:web:3 (0.699)Tree Fruit Insect Pest - European Apple Sawfly | Instars
#5 Pac2f744e6d94a879:p19:c1 (0.699)Crop Profile for Apple in Canada, 2022 (Sixth Edition, 2023) | Apple Scab (Venturia inaequalis); biology/cultural management, Canada 2023
[passage text omitted for copyright; see the chunk ids above and data/registers/source_register.json]</t>
  </si>
  <si>
    <t>T007</t>
  </si>
  <si>
    <t>management_strategy</t>
  </si>
  <si>
    <t>The shoot tips of my apple trees are covered with green aphids and the leaves are sticky with black mould. What should I do?</t>
  </si>
  <si>
    <t>These are green aphids (green apple aphid, or the spirea aphid that has largely replaced it in some regions; they are managed together). They infest succulent terminal growth and their honeydew supports black sooty mould that hinders leaf function and lowers fruit grade; high populations on young trees can retard growth. Natural enemies (lady beetles, lacewings, syrphid fly larvae) often control them. UC IPM: a delayed dormant oil spray prevents early injury; in summer, assess predators if more than 45% of shoots are infested and consider treatment at 60% or more of terminals. Penn State: from early June sample 10 shoots on five trees and treat if more than 4.2 leaves per shoot are infested and fewer than 20% of colonies have predators.</t>
  </si>
  <si>
    <t>• identifies green apple/spirea aphids and honeydew with sooty mould
• natural enemies often control them
• threshold-based decision considering predators (e.g. UC 60% terminals, Penn State 4.2 leaves/shoot)
• delayed dormant oil prevents early injury</t>
  </si>
  <si>
    <t>• recommends spraying immediately regardless of predators
• identifies them as woolly apple aphid</t>
  </si>
  <si>
    <t>[S009:web:2 | Green Apple Aphid | Damage | United States - California | date Text Updated: 01/11; Treatment Table Updated: 10/15]
[S223:web:1 | Tree Fruit Insect Pest - Green Aphids (Apple and Spirea Aphid) | Overview | United States - Pennsylvania | date February 25, 2026]
[S009:web:3 | Green Apple Aphid | Management | United States - California | date Text Updated: 01/11; Treatment Table Updated: 10/15]
[S009:web:4 | Green Apple Aphid | Biological Control | United States - California | date Text Updated: 01/11; Treatment Table Updated: 10/15]
[S009:web:6 | Green Apple Aphid | Monitoring and Treatment Decisions | United States - California | date Text Updated: 01/11; Treatment Table Updated: 10/15]
[S223:web:4 | Tree Fruit Insect Pest - Green Aphids (Apple and Spirea Aphid) | Monitoring | United States - Pennsylvania | date February 25, 2026]
[passage text omitted for copyright; see the chunk ids above and data/registers/source_register.json]</t>
  </si>
  <si>
    <t>https://ipm.ucanr.edu/agriculture/apple/green-apple-aphid/
https://extension.psu.edu/tree-fruit-insect-pest-green-aphids-apple-and-spirea-aphid</t>
  </si>
  <si>
    <t>Retrieval rank of cited passage: 1
#1 Pc857494577bd34fb:p17:c1 (0.775)Apple IPM for Beginners | Apple scab: concern, damage and cycle
#2 S216:web:2 (0.751)Tree Fruit Insect Pest - Apple Grain Aphid | Description and Life Cycle
#3 Pc857494577bd34fb:p34:c1 (0.750)Apple IPM for Beginners | Aphids and leafhoppers
#4 S086:web:8 (0.743)Apple grain aphid | Damage
#5 S086:web:1 (0.739)Apple grain aphid | Rhopalosiphum insertum (Walker) [= fitchii (Sanderson)] (Homoptera: Aphididae)
[passage text omitted for copyright; see the chunk ids above and data/registers/source_register.json]</t>
  </si>
  <si>
    <t>T009</t>
  </si>
  <si>
    <t>My apple leaves have lots of tiny white speckles, and small pale insects jump off when I touch the leaves. What are they?</t>
  </si>
  <si>
    <t>These are leafhoppers, most likely white apple leafhopper (rose leafhopper looks almost identical). Their feeding causes white or yellowish-white stippling; unlike mite feeding the spots are larger and there is no bronzing. Excrement leaves black specks on fruit that wash off, and adults are a nuisance to pickers at harvest. In Washington no fruit size or quality effect was found even at high populations. UC IPM: monitor from petal fall and treat first-generation nymphs only above about 0.5 nymphs per leaf or 30% infested leaves.</t>
  </si>
  <si>
    <t>• identifies leafhoppers (white apple leafhopper)
• white stippling without bronzing distinguishes from mites
• excrement specks on fruit; nuisance at harvest; limited yield impact
• threshold-based nymph treatment (e.g. 0.5 nymphs/leaf)</t>
  </si>
  <si>
    <t>• identifies the insects as aphids or mites
• claims leafhoppers cause major fruit loss in all cases</t>
  </si>
  <si>
    <t>[S047:web:1 | Leafhoppers | Description of the Pest | United States - California | date Text Updated: 03/09; Treatment Table Updated: 10/15]
[S047:web:2 | Leafhoppers | Damage | United States - California | date Text Updated: 03/09; Treatment Table Updated: 10/15]
[S243:web:3 | Tree Fruit Insect Pest - White Apple Leafhopper | Injury | United States - Pennsylvania | date November 1, 2023]
[S158:web:7 | White apple leafhopper | Damage | United States - Pacific Northwest | date by Elizabeth H. Beers and Erwin A. Elsner, originally published 1993]
[S158:web:8 | White apple leafhopper | Damage | United States - Pacific Northwest | date by Elizabeth H. Beers and Erwin A. Elsner, originally published 1993]
[S047:web:5 | Leafhoppers | Monitoring and Treatment Decisions | United States - California | date Text Updated: 03/09; Treatment Table Updated: 10/15]
[passage text omitted for copyright; see the chunk ids above and data/registers/source_register.json]</t>
  </si>
  <si>
    <t>https://ipm.ucanr.edu/agriculture/apple/leafhoppers/
https://extension.psu.edu/tree-fruit-insect-pest-white-apple-leafhopper
https://treefruit.wsu.edu/crop-protection/opm/white-apple-leafhopper/</t>
  </si>
  <si>
    <t>Retrieval rank of cited passage: 2
#1 S087:web:7 (0.765)Apple leafcurling midge | Adult
#2 S266:web:4 (0.733)Apple leaf-curling midge (ALCM) | Life stages
#3 S243:web:1 (0.733)Tree Fruit Insect Pest - White Apple Leafhopper | Overview
[passage text omitted for copyright; see the chunk ids above and data/registers/source_register.json]</t>
  </si>
  <si>
    <t>T012</t>
  </si>
  <si>
    <t>Some apples have sunken round brown spots with pinkish ooze, and the rot goes into the fruit in a cone shape. What is it?</t>
  </si>
  <si>
    <t>This is bitter rot (Colletotrichum): sunken circular brown spots, often in concentric rings with small black dots, oozing a salmon-pink mass of spores, and a rot that progresses to the core in a V or cone shape; fruit later shrivel into mummies. It is favoured by high temperatures and humidity. Black rot differs: usually one spot per fruit and the decay is not cone-shaped. Prevention: remove dead limbs and mummified fruit (overwintering sites), keep trees vigorous, and avoid highly susceptible varieties.</t>
  </si>
  <si>
    <t>• identifies bitter rot
• salmon-pink spore ooze and cone/V-shaped rot
• distinguishes from black rot
• sanitation: remove mummies and dead wood; warm humid conditions favour it</t>
  </si>
  <si>
    <t>• diagnoses bitter pit (a physiological disorder)
• says the decay is limited to the skin</t>
  </si>
  <si>
    <t>[S179:web:2 | Fact Sheet: Bitter Rot | What does bitter rot look like? | United States | date unknown]
[S179:web:1 | Fact Sheet: Bitter Rot | What is bitter rot? | United States | date unknown]
[S179:web:3 | Fact Sheet: Bitter Rot | Where does bitter rot come from? | United States | date unknown]
[S179:web:4 | Fact Sheet: Bitter Rot | How do I prevent bitter rot? | United States | date unknown]
[Pac2f744e6d94a879:p23:c1 | Crop Profile for Apple in Canada, 2022 (Sixth Edition, 2023) | Bitter Rot and Glomerella Leaf Blotch (Colletotrichum spp.); biology/cultural management, Canada 2023 | Canada | date 2023]
[S248:web:2 | Pome Fruit Disease - Black Rot and Frogeye Leaf Spot | Symptoms | United States - Pennsylvania | date June 26, 2024]
[passage text omitted for copyright; see the chunk ids above and data/registers/source_register.json]</t>
  </si>
  <si>
    <t>https://blogs.cornell.edu/applevarietydatabase/fact-sheet-bitter-rot/
https://publications.gc.ca/collections/collection_2023/aac-aafc/A118-10-7-2022-eng.pdf
https://extension.psu.edu/pome-fruit-disease-black-rot-and-frogeye-leaf-spot</t>
  </si>
  <si>
    <t>Retrieval rank of cited passage: 2
#1 S072:web:6 (0.742)Apple Anthracnose | Bull’s-eye Rot
#2 S185:web:2 (0.741)Fact Sheet: White Rot | What does White Rot look like?
#3 S185:web:1 (0.732)Fact Sheet: White Rot | What is White Rot?
#4 Pfad1d86df7e72095:p3:c1 (0.730)Apple Anthracnose | Apple anthracnose: symptoms, cycle and cultural management
[passage text omitted for copyright; see the chunk ids above and data/registers/source_register.json]</t>
  </si>
  <si>
    <t>T015</t>
  </si>
  <si>
    <t>Some branches have sunken cankers with rings around buds and leaf scars, and the bark is flaky in the centre. What is it?</t>
  </si>
  <si>
    <t>This fits European canker (Neonectria ditissima): it starts as small dark sunken areas around buds, leaf scars or wounds, which develop concentric rings of cracking with swelling of the stem above and below, a dry flaky centre and staining of the wood beneath; white spores form in the cracks in humid weather and dark red fruiting bodies in autumn and winter. Flaky bark alone is not unique to this disease. The fungus enters through leaf scars, growth cracks and wounds, and cankers kill branches; infected wood should be pruned out well below the canker and destroyed.</t>
  </si>
  <si>
    <t>• identifies European canker
• sunken areas at buds/leaf scars with concentric rings; white spores or red fruiting bodies
• enters via leaf scars and wounds; kills branches
• prune out infected wood below the canker and destroy it</t>
  </si>
  <si>
    <t>• diagnoses fire blight without considering the ring pattern
• says the canker will heal by itself</t>
  </si>
  <si>
    <t>[S279:web:3 | European canker | Damage | New Zealand | date unknown]
[S200:web:1 | European canker | What does it look like? | New Zealand | date unknown]
[S004:web:1 | European Canker | Symptoms and Signs | United States - California | date Text Updated: 03/09; Treatment Table Updated: 10/15]
[S279:web:4 | European canker | Sites of infection | New Zealand | date unknown]
[S004:web:3 | European Canker | Management | United States - California | date Text Updated: 03/09; Treatment Table Updated: 10/15]
[S279:web:6 | European canker | Cultural control | New Zealand | date unknown]
[passage text omitted for copyright; see the chunk ids above and data/registers/source_register.json]</t>
  </si>
  <si>
    <t>https://www.hortinfo.co.nz/textfiles/pdh301_59.htm
https://www.hbrc.govt.nz/environment/pest-control/pest-hub/pests/pest/60?type=2
https://ipm.ucanr.edu/agriculture/apple/european-canker/</t>
  </si>
  <si>
    <t>Retrieval rank of cited passage: 1
#1 S004:web:2 (0.707)European Canker | Comments on the Disease
#2 S015:web:4 (0.700)Fire Blight of Apple and Pear | Overwintering cankers
[passage text omitted for copyright; see the chunk ids above and data/registers/source_register.json]</t>
  </si>
  <si>
    <t>T019</t>
  </si>
  <si>
    <t>My apples look fine on the outside, but when I cut them the core has mould. What is this?</t>
  </si>
  <si>
    <t>This is moldy core: fungal growth inside the seed cavity without penetrating the flesh, usually with no external symptoms (infected fruit may colour and drop early). If the fungus enters the flesh around the core it becomes core rot (dry, corky rot; or a wet rot that develops in storage). The fungi colonise flowers and enter through an open calyx, so cultivars with an open sinus such as Delicious and Idared are most susceptible; wet weather at bloom favours it. Fungicides at bloom give mixed results; pruning and training for fast drying helps, and over-mature fruit should not be stored.</t>
  </si>
  <si>
    <t>• identifies moldy core (core rot if flesh affected)
• no external symptoms; enters via open calyx from flowers
• susceptible open-sinus cultivars; wet weather at bloom
• pruning for drying; fungicides mixed; don't store over-mature fruit</t>
  </si>
  <si>
    <t>• attributes it to codling moth
• says it spreads from fruit to fruit in storage as the main mechanism</t>
  </si>
  <si>
    <t>[S211:web:2 | Apple Disease: Moldy Core | Symptoms | United States - Pennsylvania | date January 5, 2024]
[S211:web:1 | Apple Disease: Moldy Core | Overview | United States - Pennsylvania | date January 5, 2024]
[S211:web:3 | Apple Disease: Moldy Core | Disease Cycle | United States - Pennsylvania | date January 5, 2024]
[S211:web:4 | Apple Disease: Moldy Core | Management | United States - Pennsylvania | date January 5, 2024]
[S208:web:2 | Apple Disease - Core Rot | Symptoms | United States - Pennsylvania | date January 5, 2024]
[S208:web:4 | Apple Disease - Core Rot | Disease Management | United States - Pennsylvania | date January 5, 2024]
[passage text omitted for copyright; see the chunk ids above and data/registers/source_register.json]</t>
  </si>
  <si>
    <t>https://extension.psu.edu/apple-disease-moldy-core
https://extension.psu.edu/apple-disease-core-rot</t>
  </si>
  <si>
    <t>Retrieval rank of cited passage: 1
#1 S208:web:1 (0.753)Apple Disease - Core Rot | Overview
[passage text omitted for copyright; see the chunk ids above and data/registers/source_register.json]</t>
  </si>
  <si>
    <t>T022</t>
  </si>
  <si>
    <t>monitoring_sampling</t>
  </si>
  <si>
    <t>How should I time my sprays for codling moth?</t>
  </si>
  <si>
    <t>Sprays target hatching larvae, so timing comes from pheromone traps plus degree-days. Set a biofix from the first sustained moth catch (UC IPM: moths in traps for three consecutive checks and sunset temperature at least 62°F; Penn State: first capture), then accumulate degree-days (base 50°F, upper 88°F). UC IPM sprays at about 250 degree-days after biofix (160 if catches are high), repeating when residual ends; Penn State applies at 250–350 degree-days, or within 5–8 days when catches exceed five moths per trap per week without mating disruption. Two to four generations occur per year, so track each generation and check fruit for damage.</t>
  </si>
  <si>
    <t>• sprays target egg hatch/young larvae
• pheromone traps to set a biofix
• degree-day accumulation (base 50°F) to time sprays (attributed values e.g. 250 DD)
• multiple generations; repeat timing and fruit checks</t>
  </si>
  <si>
    <t>• recommends calendar sprays without monitoring
• presents one region's threshold as universal</t>
  </si>
  <si>
    <t>[S006:web:16 | Codling Moth | Establishing Biofix and Accumulation of Degree-Days | United States - California | date Text Updated: 12/09; Treatment Table Updated: 10/15]
[S006:web:17 | Codling Moth | Spray Timing | United States - California | date Text Updated: 12/09; Treatment Table Updated: 10/15]
[S022:web:5 | Tree Fruit Insect Pest - Codling Moth | Monitoring and Management | United States - Pennsylvania | date February 25, 2026]
[S006:web:1 | Codling Moth | Description of the Pest | United States - California | date Text Updated: 12/09; Treatment Table Updated: 10/15]
[S006:web:13 | Codling Moth | Fruit Sampling | United States - California | date Text Updated: 12/09; Treatment Table Updated: 10/15]
[passage text omitted for copyright; see the chunk ids above and data/registers/source_register.json]</t>
  </si>
  <si>
    <t>https://ipm.ucanr.edu/agriculture/apple/codling-moth/
https://extension.psu.edu/tree-fruit-insect-pest-codling-moth</t>
  </si>
  <si>
    <t>Retrieval rank of cited passage: 1
#1 S006:web:15 (0.814)Codling Moth | Monitoring and Treatment Decisions in a Conventional Orchard
#2 S228:web:17 (0.797)Tree Fruit Insect Pest - Oriental Fruit Moth | Monitoring and Management
#3 S006:web:14 (0.789)Codling Moth | Supplemental Treatments
#4 S006:web:8 (0.780)Codling Moth | Setting Out Pheromone Dispensers
[passage text omitted for copyright; see the chunk ids above and data/registers/source_register.json]</t>
  </si>
  <si>
    <t>✗</t>
  </si>
  <si>
    <t>Passed after modification</t>
  </si>
  <si>
    <t>Add the base temperature of degree-day accumulation, the biofix definition and the conditions of the local model; do not present US spray timing as a universal prescription.</t>
  </si>
  <si>
    <t>T024</t>
  </si>
  <si>
    <t>The young leaves on my apple trees are tightly rolled, and I found tiny orange maggots inside. What is it and does it need control?</t>
  </si>
  <si>
    <t>This is apple leafcurling midge: larvae feed on the margins of developing leaves, which roll inward into tight tubes, may redden and later go brown and brittle. Mature trees usually do not suffer economic damage, but heavy infestations can stunt shoots of young trees and new grafts. Monitoring focuses on young trees with vigorous shoots. Insecticides are difficult because larvae are protected inside the rolls; natural enemies (e.g. the parasitoid Platygaster demades) can give useful control, and New Zealand guidance advises avoiding broad-spectrum insecticides that disrupt them.</t>
  </si>
  <si>
    <t>• identifies apple leafcurling midge
• tightly rolled leaves with orange larvae
• mainly a problem on young trees/grafts, not mature trees
• natural enemies; avoid broad-spectrum sprays; larvae protected in rolls</t>
  </si>
  <si>
    <t>• identifies the maggots as apple maggot
• recommends routine sprays on mature trees</t>
  </si>
  <si>
    <t>[S087:web:9 | Apple leafcurling midge | Damage | United States - Pacific Northwest | date by Eric LaGasa, published online December 2007; revised 2017 by Elizabeth H. Beers]
[S087:web:10 | Apple leafcurling midge | Monitoring | United States - Pacific Northwest | date by Eric LaGasa, published online December 2007; revised 2017 by Elizabeth H. Beers]
[Pac2f744e6d94a879:p45:c1 | Crop Profile for Apple in Canada, 2022 (Sixth Edition, 2023) | Apple Leaf Curling Midge (Dasineura mali); biology/cultural management, Canada 2023 | Canada | date 2023]
[S266:web:1 | Apple leaf-curling midge (ALCM) | Summary | New Zealand | date unknown]
[S087:web:12 | Apple leafcurling midge | Management | United States - Pacific Northwest | date by Eric LaGasa, published online December 2007; revised 2017 by Elizabeth H. Beers]
[S266:web:2 | Apple leaf-curling midge (ALCM) | Overview | New Zealand | date unknown]
[S087:web:11 | Apple leafcurling midge | Biological control | United States - Pacific Northwest | date by Eric LaGasa, published online December 2007; revised 2017 by Elizabeth H. Beers]
[passage text omitted for copyright; see the chunk ids above and data/registers/source_register.json]</t>
  </si>
  <si>
    <t>https://treefruit.wsu.edu/crop-protection/opm/apple-leafcurling-midge/
https://publications.gc.ca/collections/collection_2023/aac-aafc/A118-10-7-2022-eng.pdf
https://www.hortinfo.co.nz/textfiles/pdh252_59.htm</t>
  </si>
  <si>
    <t>Retrieval rank of cited passage: 1
#1 S007:web:1 (0.750)Apple Maggot | Description of the Pest
#2 S218:web:3 (0.747)Tree Fruit Insect Pest - Apple Maggot | Hosts
#3 S087:web:5 (0.746)Apple leafcurling midge | Larva
#4 S266:web:3 (0.741)Apple leaf-curling midge (ALCM) | Main identifying features
#5 S218:web:4 (0.730)Tree Fruit Insect Pest - Apple Maggot | Monitoring
[passage text omitted for copyright; see the chunk ids above and data/registers/source_register.json]</t>
  </si>
  <si>
    <t>T027</t>
  </si>
  <si>
    <t>How do I put out pheromone dispensers to control codling moth?</t>
  </si>
  <si>
    <t>Hang hand-applied dispensers in the upper third of the canopy shortly before the first moth emergence (UC IPM uses historical biofix dates; early to avoid late mating), and reapply according to the product's life if it will not last through the season. Puffers go inside edge trees or outside second-row trees at about 20 units per quarter mile. Mating disruption works best in large, uniform, square blocks (not under about 3–5 acres per UC IPM; WSU notes small orchards under 10 acres or near pest sources may not get reliable control). In the first year or with moderate to high populations, supplementary insecticides are usually needed; keep monitoring traps (high-load lures) and fruit.</t>
  </si>
  <si>
    <t>• place dispensers in upper canopy before first moth flight
• best in large uniform blocks; small/isolated issues
• supplementary insecticides in first year or high populations
• keep monitoring with traps and fruit checks</t>
  </si>
  <si>
    <t>• says pheromones kill moths
• recommends mating disruption alone for high populations</t>
  </si>
  <si>
    <t>[S006:web:8 | Codling Moth | Setting Out Pheromone Dispensers | United States - California | date Text Updated: 12/09; Treatment Table Updated: 10/15]
[S006:web:7 | Codling Moth | Monitoring and Treatment Decisions in a Mating Disruption Orchard | United States - California | date Text Updated: 12/09; Treatment Table Updated: 10/15]
[S122:web:11 | Mating Disruption | Size and location of orchard | United States - Pacific Northwest | date by Jay F. Brunner and Alan Knight, originally published 1993]
[S122:web:12 | Mating Disruption | Pest levels | United States - Pacific Northwest | date by Jay F. Brunner and Alan Knight, originally published 1993]
[S122:web:7 | Mating Disruption | Pheromone dispensers | United States - Pacific Northwest | date by Jay F. Brunner and Alan Knight, originally published 1993]
[S022:web:5 | Tree Fruit Insect Pest - Codling Moth | Monitoring and Management | United States - Pennsylvania | date February 25, 2026]
[passage text omitted for copyright; see the chunk ids above and data/registers/source_register.json]</t>
  </si>
  <si>
    <t>https://ipm.ucanr.edu/agriculture/apple/codling-moth/
https://treefruit.wsu.edu/crop-protection/opm/mating-disruption/
https://extension.psu.edu/tree-fruit-insect-pest-codling-moth</t>
  </si>
  <si>
    <t>Retrieval rank of cited passage: 2
#1 S006:web:15 (0.819)Codling Moth | Monitoring and Treatment Decisions in a Conventional Orchard
#2 S006:web:9 (0.806)Codling Moth | Monitoring with Traps
#3 S228:web:17 (0.802)Tree Fruit Insect Pest - Oriental Fruit Moth | Monitoring and Management
#4 S006:web:11 (0.779)Codling Moth | Regular (1 mg) pheromone traps
[passage text omitted for copyright; see the chunk ids above and data/registers/source_register.json]</t>
  </si>
  <si>
    <t>When giving dispenser density, state the product formulation, canopy size and the region of the label; do not extend UC IPM values to all orchards.</t>
  </si>
  <si>
    <t>T035</t>
  </si>
  <si>
    <t>Brown, papery dead blossoms are hanging on my apple trees after a frosty spell at bloom, but there is no ooze. What is it?</t>
  </si>
  <si>
    <t>This fits bacterial blossom blast (Pseudomonas syringae): buds infected in early bloom turn brown and papery and may drop; later infections brown the petals, stems and cluster bases, but infection usually stops at the base of the fruit cluster. It needs frost or freezing temperatures plus moisture, and warm dry weather halts it. It resembles fire blight, but bacterial ooze is never present with blast, whereas fire blight produces ooze and shepherd's crook shoots. It is hard to control; UC IPM suggests overhead sprinklers for frost protection, turned on before temperatures drop below about 34°F and kept on until well above freezing.</t>
  </si>
  <si>
    <t>• identifies bacterial blossom blast
• frost/freezing plus moisture trigger
• distinguishes from fire blight (no ooze, stays at cluster base)
• frost protection with sprinklers</t>
  </si>
  <si>
    <t>• diagnoses fire blight and recommends antibiotic programmes
• ignores the frost link</t>
  </si>
  <si>
    <t>[S066:web:1 | Bacterial Blossom Blast | Symptoms and Signs | United States - California | date Text Updated: 03/09; Treatment Table Updated: 10/15]
[S066:web:2 | Bacterial Blossom Blast | Comments on the Disease | United States - California | date Text Updated: 03/09; Treatment Table Updated: 10/15]
[S066:web:3 | Bacterial Blossom Blast | Management | United States - California | date Text Updated: 03/09; Treatment Table Updated: 10/15]
[S002:web:1 | Fire Blight | Symptoms and Signs | United States - California | date Text Updated: 03/09; Treatment Table Updated: 10/15]
[passage text omitted for copyright; see the chunk ids above and data/registers/source_register.json]</t>
  </si>
  <si>
    <t>https://ipm.ucanr.edu/agriculture/apple/bacterial-blossom-blast/
https://ipm.ucanr.edu/agriculture/apple/fire-blight/</t>
  </si>
  <si>
    <t>Retrieval rank of cited passage: 4
#1 S015:web:17 (0.721)Fire Blight of Apple and Pear | Summer sanitation
#2 Pc857494577bd34fb:p19:c1 (0.704)Apple IPM for Beginners | Fire blight: concern and cycle
#3 S155:web:8 (0.701)Western flower thrips | Damage
#4 S015:web:5 (0.698)Fire Blight of Apple and Pear | Blossom symptoms
#5 S236:web:2 (0.696)Tree Fruit Insect Pest - Rosy Apple Aphid | Description and life cycle
[passage text omitted for copyright; see the chunk ids above and data/registers/source_register.json]</t>
  </si>
  <si>
    <t>T036</t>
  </si>
  <si>
    <t>conditions_risk</t>
  </si>
  <si>
    <t>We had a cold, wet spring with long rainy periods during bloom. Now my apple leaves have olive spots. Why did the weather matter?</t>
  </si>
  <si>
    <t>The spots are apple scab, and wet springs drive it. The fungus overwinters in fallen leaves; spores are ejected during spring rain (from green tip through about four weeks after petal fall) and need a film of water on leaves or fruit to germinate. Infection happens only if tissue stays wet long enough: the cooler it is, the longer the wetting period needed (Mills/La Plante: about 9 hours at 61–75°F but 14 hours at 50°F and longer below), so long rainy spells allow infection even in cool weather. Once primary lesions form, secondary spores spread without long wet periods all season.</t>
  </si>
  <si>
    <t>• identifies apple scab
• spores released by rain from overwintered leaves in spring
• infection needs a wetting period that is longer at cooler temperatures (Mills table)
• primary infection leads to secondary spread</t>
  </si>
  <si>
    <t>• says cold weather prevents scab entirely
• attributes spots to frost damage</t>
  </si>
  <si>
    <t>[Pbb050e80247f328d:p35:c1 | IPM Manual for Minnesota Apple Orchards | Historical Minnesota apple biology/monitoring; 2007 conditions | United States - Minnesota | date 2007-09]
[Pbb050e80247f328d:p35:c2 | IPM Manual for Minnesota Apple Orchards | Historical Minnesota apple biology/monitoring; 2007 conditions | United States - Minnesota | date 2007-09]
[Pc857494577bd34fb:p17:c1 | Apple IPM for Beginners | Apple scab: concern, damage and cycle | United States - New York | date 2014]
[S001:web:2 | Apple Scab | Comments on the Disease | United States - California | date Text Updated: 10/15; Treatment Table Updated: 10/15]
[S001:web:9 | Apple Scab | Monitoring | United States - California | date Text Updated: 10/15; Treatment Table Updated: 10/15]
[S001:web:16 | Apple Scab | Monitoring | United States - California | date Text Updated: 10/15; Treatment Table Updated: 10/15]
[passage text omitted for copyright; see the chunk ids above and data/registers/source_register.json]</t>
  </si>
  <si>
    <t>https://fruitedge.umn.edu/sites/fruitedge-dl9.umn.edu/files/2023-07/IPM%20Manual-2007-MDA.pdf
https://blogs.cornell.edu/newfruit/files/2016/12/Apple_IPM_Beginners-21ahj65.pdf
https://ipm.ucanr.edu/agriculture/apple/apple-scab/</t>
  </si>
  <si>
    <t>Retrieval rank of cited passage: 5
#1 S174:web:2 (0.738)Fact Sheet: Apple Scab | What does apple scab look like?
#2 S208:web:3 (0.730)Apple Disease - Core Rot | Disease Cycle
#3 S211:web:3 (0.722)Apple Disease: Moldy Core | Disease Cycle
#4 S209:web:2 (0.713)Apple Disease - Marssonina Blotch | Marssonina Blotch Symptoms on Apple Trees
#5 S210:web:3 (0.707)Apple Disease - Powdery Mildew | Disease Cycle
[passage text omitted for copyright; see the chunk ids above and data/registers/source_register.json]</t>
  </si>
  <si>
    <t>T039</t>
  </si>
  <si>
    <t>New Zealand</t>
  </si>
  <si>
    <t>I'm in Nelson, New Zealand. Can parasitic wasps control woolly apple aphid in my orchard?</t>
  </si>
  <si>
    <t>Yes, with conditions. At Appleby near Nelson (1994–96), the parasitoid Aphelinus mali reached over 80% parasitism in the second season and controlled the aphid without aphicide sprays within a selective (tebufenozide-based) programme. But this biocontrol is fragile: a Hawke's Bay study linked the 2007–08 outbreaks mainly to spinetoram, which is toxic to A. mali, and noted other insecticides also contribute; with no available aphicide, avoiding disruptive sprays is essential. A. mali only parasitises above-ground colonies; look for black mummified aphids with round exit holes. WSU adds that generalist predators are also important and that control may fail after mild winters.</t>
  </si>
  <si>
    <t>• yes: A. mali controlled WAA in a Nelson trial with selective insecticides
• disruptive insecticides (e.g. spinetoram) caused outbreaks; avoid them
• parasitises only above-ground colonies; mummies with exit holes show activity
• predators also help; mild winters may limit control</t>
  </si>
  <si>
    <t>• says parasitoids cannot control woolly apple aphid
• recommends spinetoram for aphid control</t>
  </si>
  <si>
    <t>[P22b2f2a0c04d1246:p1:c1 | Biological control of woolly apple aphid by Aphelinus mali in an integrated fruit production programme in Nelson | Abstract – dated research findings | New Zealand - Nelson | date 1996]
[P22b2f2a0c04d1246:p4:c1 | Biological control of woolly apple aphid by Aphelinus mali in an integrated fruit production programme in Nelson | Discussion/conclusion – dated experimental context | New Zealand - Nelson | date 1996]
[Pb451007e959e5dd4:p1:c1 | Vulnerability of pest management in New Zealand apples: pesticide toxicity to Aphelinus mali | Abstract – dated research findings | New Zealand - Hawke’s Bay / laboratory trials | date 2015]
[Pb451007e959e5dd4:p5:c1 | Vulnerability of pest management in New Zealand apples: pesticide toxicity to Aphelinus mali | Discussion/conclusion – dated experimental context | New Zealand - Hawke’s Bay / laboratory trials | date 2015]
[S083:web:7 | Aphelinus mali | Life history | United States - Pacific Northwest | date by Elizabeth H. Beers , Stanley C. Hoyt, and Michael J. Willett, originally published 1993; revised March 2010 E. Beers; revised March 2010]
[S083:web:8 | Aphelinus mali | Monitoring | United States - Pacific Northwest | date by Elizabeth H. Beers , Stanley C. Hoyt, and Michael J. Willett, originally published 1993; revised March 2010 E. Beers; revised March 2010]
[S083:web:9 | Aphelinus mali | Management | United States - Pacific Northwest | date by Elizabeth H. Beers , Stanley C. Hoyt, and Michael J. Willett, originally published 1993; revised March 2010 E. Beers; revised March 2010]
[passage text omitted for copyright; see the chunk ids above and data/registers/source_register.json]</t>
  </si>
  <si>
    <t>https://journal.nzpps.org/index.php/pnzppc/article/download/11425/11275/12902
https://www.journal.nzpps.org/index.php/nzpp/article/view/5826
https://treefruit.wsu.edu/crop-protection/opm/aphelinus-mali/</t>
  </si>
  <si>
    <t>Retrieval rank of cited passage: 1
#1 S244:web:5 (0.793)Tree Fruit Insect Pest - Woolly Apple Aphid | Management
#2 S012:web:5 (0.787)Woolly Apple Aphid | Biological Control
#3 S244:web:6 (0.776)Tree Fruit Insect Pest - Woolly Apple Aphid | Cultural Control
#4 S244:web:1 (0.768)Tree Fruit Insect Pest - Woolly Apple Aphid | Overview
[passage text omitted for copyright; see the chunk ids above and data/registers/source_register.json]</t>
  </si>
  <si>
    <t>Limit the Appleby 1994–96 parasitism rates to that trial; do not promise the same control in all Nelson orchards today.</t>
  </si>
  <si>
    <t>T040</t>
  </si>
  <si>
    <t>boundary_insufficient</t>
  </si>
  <si>
    <t>partial</t>
  </si>
  <si>
    <t>I'm in New Zealand and have lightbrown apple moth caterpillars in my apples. What should I spray?</t>
  </si>
  <si>
    <t>The corpus has no reviewed New Zealand guidance on which insecticides to use against lightbrown apple moth, so specific products and timings cannot be given. It does contain New Zealand evidence on a non-insecticide option: in 12 Hawke's Bay orchards (2009–2011), three-species leafroller mating disruption (600 dispensers/ha) with one insecticide in early November and threshold-based follow-up cut male trap catch by up to 98% and reduced insecticide use, with acceptably low damage; it was less effective against lightbrown apple moth in Nelson, where activity is higher. Overseas leafroller sampling advice exists but is not New Zealand-specific.</t>
  </si>
  <si>
    <t>• does not present specific insecticide products or timing as established NZ advice
• leafroller mating disruption can cut trap catch and reduce insecticide sprays (NZ Hawke's Bay trials)
• notes lower efficacy in Nelson
• does not invent products or rates</t>
  </si>
  <si>
    <t>• names specific insecticides or rates as NZ recommendations
• says nothing is known about controlling it in New Zealand</t>
  </si>
  <si>
    <t>Answerable: New Zealand mating-disruption trial; decline: products and timing; reason: NZR03 not added to the corpus (see decision record)</t>
  </si>
  <si>
    <t>[P2f964142f9956fd5:p1:c1 | Use of mating disruption for control of New Zealand leafrollers in apple orchards | Abstract – dated research findings | New Zealand - Hawke’s Bay | date 2011]
[P2f964142f9956fd5:p6:c1 | Use of mating disruption for control of New Zealand leafrollers in apple orchards | Discussion/conclusion – dated experimental context | New Zealand - Hawke’s Bay | date 2011]
[P2f964142f9956fd5:p6:c2 | Use of mating disruption for control of New Zealand leafrollers in apple orchards | Discussion/conclusion – dated experimental context | New Zealand - Hawke’s Bay | date 2011]
[passage text omitted for copyright; see the chunk ids above and data/registers/source_register.json]</t>
  </si>
  <si>
    <t>https://nzpps.org/_journal/index.php/nzpp/article/download/5957/5785/8159</t>
  </si>
  <si>
    <t>cited passage not in the top 6
#1 S085:web:11 (0.763)Apple ermine moth | Management
#2 S245:web:4 (0.748)Tree Fruit Insect Pest -Tufted Apple Bud Moth | Monitoring and Management
#3 S041:web:6 (0.747)Apple Pandemis | Monitoring and Treatment Decisions
#4 S218:web:4 (0.743)Tree Fruit Insect Pest - Apple Maggot | Monitoring
#5 Pc857494577bd34fb:p38:c1 (0.742)Apple IPM for Beginners | Trunk borers
#6 S085:web:9 (0.740)Apple ermine moth | Monitoring
[passage text omitted for copyright; see the chunk ids above and data/registers/source_register.json]</t>
  </si>
  <si>
    <t>Boundary questions should separate the known pest information from the lack of reviewed NZ product evidence; advise checking local compliant labels and experts. Re-check whether the original corpus contains material for the part to decline; the current excerpts do not prove that the whole corpus lacks such evidence.</t>
  </si>
  <si>
    <t>T047</t>
  </si>
  <si>
    <t>Young apples have crescent-shaped scars on the skin. What could cause this?</t>
  </si>
  <si>
    <t>This is the characteristic egg-laying scar of plum curculio: the female makes a crescent-shaped cut partly surrounding a sunken egg (feeding punctures are small round holes). Larvae develop mainly in dropped fruit; on the tree the scars remain and fruit may be deformed. European apple sawfly is a different cause of fruit scarring: its young larvae leave a ribbon-like scar just under the skin. Plum curculio is controlled during the first warm, humid days after petal fall (maximum around 70°F), keeping spray residue for about 308 degree-days (base 50°F) after petal fall per Penn State, especially near woods and fencerows.</t>
  </si>
  <si>
    <t>• identifies plum curculio egg-laying scars
• crescent cut around sunken egg; larvae mostly in dropped fruit
• distinguishes from European apple sawfly ribbon scars
• control in first warm period after petal fall</t>
  </si>
  <si>
    <t>• attributes the scars to hail or codling moth</t>
  </si>
  <si>
    <t>[S232:web:1 | Tree Fruit Insect Pest - Plum Curculio | Overview | United States - Pennsylvania | date November 1, 2023]
[S232:web:3 | Tree Fruit Insect Pest - Plum Curculio | Injury | United States - Pennsylvania | date November 1, 2023]
[S232:web:2 | Tree Fruit Insect Pest - Plum Curculio | Description and Life Cycle | United States - Pennsylvania | date November 1, 2023]
[S222:web:3 | Tree Fruit Insect Pest - European Apple Sawfly | Instars | United States - Pennsylvania | date February 25, 2026]
[S232:web:4 | Tree Fruit Insect Pest - Plum Curculio | Monitoring and Management | United States - Pennsylvania | date November 1, 2023]
[passage text omitted for copyright; see the chunk ids above and data/registers/source_register.json]</t>
  </si>
  <si>
    <t>https://extension.psu.edu/tree-fruit-insect-pest-plum-curculio
https://extension.psu.edu/tree-fruit-insect-pest-european-apple-sawfly</t>
  </si>
  <si>
    <t>Retrieval rank of cited passage: 4
#1 S001:web:1 (0.744)Apple Scab | Symptoms and Signs
#2 S174:web:2 (0.726)Fact Sheet: Apple Scab | What does apple scab look like?
#3 P86663e8e7add6d5b:p1:c1 (0.718)Seasonal wound presence and susceptibility to Neonectria ditissima infection in New Zealand apple trees | Abstract – dated research findings
#4 P86663e8e7add6d5b:p7:c1 (0.704)Seasonal wound presence and susceptibility to Neonectria ditissima infection in New Zealand apple trees | Discussion/conclusion – dated experimental context
#5 S155:web:8 (0.702)Western flower thrips | Damage
[passage text omitted for copyright; see the chunk ids above and data/registers/source_register.json]</t>
  </si>
  <si>
    <t>Questions</t>
  </si>
  <si>
    <t>Rejected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</si>
</sst>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5">
    <font>
      <sz val="11"/>
      <color theme="1"/>
      <name val="宋体"/>
      <charset val="134"/>
      <scheme val="minor"/>
    </font>
    <font>
      <b/>
      <sz val="11"/>
      <name val="Calibri"/>
      <charset val="134"/>
    </font>
    <font>
      <sz val="11"/>
      <color theme="1"/>
      <name val="Calibri"/>
      <charset val="134"/>
    </font>
    <font>
      <sz val="11"/>
      <color rgb="FF0563C1"/>
      <name val="Calibri"/>
      <charset val="134"/>
    </font>
    <font>
      <b/>
      <sz val="13"/>
      <name val="Calibri"/>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DDEBF7"/>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5" fillId="0" borderId="0" applyFont="0" applyFill="0" applyBorder="0" applyAlignment="0" applyProtection="0">
      <alignment vertical="center"/>
    </xf>
    <xf numFmtId="44" fontId="5" fillId="0" borderId="0" applyFont="0" applyFill="0" applyBorder="0" applyAlignment="0" applyProtection="0">
      <alignment vertical="center"/>
    </xf>
    <xf numFmtId="9" fontId="5" fillId="0" borderId="0" applyFont="0" applyFill="0" applyBorder="0" applyAlignment="0" applyProtection="0">
      <alignment vertical="center"/>
    </xf>
    <xf numFmtId="41" fontId="5" fillId="0" borderId="0" applyFont="0" applyFill="0" applyBorder="0" applyAlignment="0" applyProtection="0">
      <alignment vertical="center"/>
    </xf>
    <xf numFmtId="42" fontId="5"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5" fillId="4"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5" borderId="4" applyNumberFormat="0" applyAlignment="0" applyProtection="0">
      <alignment vertical="center"/>
    </xf>
    <xf numFmtId="0" fontId="15" fillId="6" borderId="5" applyNumberFormat="0" applyAlignment="0" applyProtection="0">
      <alignment vertical="center"/>
    </xf>
    <xf numFmtId="0" fontId="16" fillId="6" borderId="4" applyNumberFormat="0" applyAlignment="0" applyProtection="0">
      <alignment vertical="center"/>
    </xf>
    <xf numFmtId="0" fontId="17" fillId="7"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4" fillId="12" borderId="0" applyNumberFormat="0" applyBorder="0" applyAlignment="0" applyProtection="0">
      <alignment vertical="center"/>
    </xf>
    <xf numFmtId="0" fontId="24"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4" fillId="16" borderId="0" applyNumberFormat="0" applyBorder="0" applyAlignment="0" applyProtection="0">
      <alignment vertical="center"/>
    </xf>
    <xf numFmtId="0" fontId="24"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4" fillId="20" borderId="0" applyNumberFormat="0" applyBorder="0" applyAlignment="0" applyProtection="0">
      <alignment vertical="center"/>
    </xf>
    <xf numFmtId="0" fontId="24"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4" fillId="24" borderId="0" applyNumberFormat="0" applyBorder="0" applyAlignment="0" applyProtection="0">
      <alignment vertical="center"/>
    </xf>
    <xf numFmtId="0" fontId="24"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4" fillId="28" borderId="0" applyNumberFormat="0" applyBorder="0" applyAlignment="0" applyProtection="0">
      <alignment vertical="center"/>
    </xf>
    <xf numFmtId="0" fontId="24"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4" fillId="32" borderId="0" applyNumberFormat="0" applyBorder="0" applyAlignment="0" applyProtection="0">
      <alignment vertical="center"/>
    </xf>
    <xf numFmtId="0" fontId="24" fillId="33" borderId="0" applyNumberFormat="0" applyBorder="0" applyAlignment="0" applyProtection="0">
      <alignment vertical="center"/>
    </xf>
    <xf numFmtId="0" fontId="23" fillId="34" borderId="0" applyNumberFormat="0" applyBorder="0" applyAlignment="0" applyProtection="0">
      <alignment vertical="center"/>
    </xf>
  </cellStyleXfs>
  <cellXfs count="7">
    <xf numFmtId="0" fontId="0" fillId="0" borderId="0" xfId="0"/>
    <xf numFmtId="0" fontId="0" fillId="0" borderId="0" xfId="0" applyAlignment="1">
      <alignment horizontal="center" vertical="center"/>
    </xf>
    <xf numFmtId="0" fontId="1" fillId="2" borderId="0" xfId="0" applyFont="1" applyFill="1" applyAlignment="1">
      <alignment horizontal="center" vertical="center" wrapText="1"/>
    </xf>
    <xf numFmtId="0" fontId="1" fillId="3" borderId="0" xfId="0" applyFont="1" applyFill="1" applyAlignment="1">
      <alignment horizontal="center" vertical="center" wrapText="1"/>
    </xf>
    <xf numFmtId="0" fontId="2" fillId="0" borderId="0" xfId="0" applyFont="1" applyAlignment="1">
      <alignment horizontal="center" vertical="center" wrapText="1"/>
    </xf>
    <xf numFmtId="0" fontId="3" fillId="0" borderId="0" xfId="0" applyFont="1" applyAlignment="1">
      <alignment horizontal="center" vertical="center" wrapText="1"/>
    </xf>
    <xf numFmtId="0" fontId="4"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9"/>
  <sheetViews>
    <sheetView workbookViewId="0">
      <selection activeCell="A1" sqref="A1"/>
    </sheetView>
  </sheetViews>
  <sheetFormatPr defaultColWidth="9" defaultRowHeight="14.4"/>
  <cols>
    <col min="1" max="1" width="120" customWidth="1"/>
  </cols>
  <sheetData>
    <row r="1" ht="17.4" spans="1:1">
      <c r="A1" s="6" t="s">
        <v>0</v>
      </c>
    </row>
    <row r="3" spans="1:1">
      <c r="A3" t="s">
        <v>1</v>
      </c>
    </row>
    <row r="4" spans="1:1">
      <c r="A4" t="s">
        <v>2</v>
      </c>
    </row>
    <row r="5" spans="1:1">
      <c r="A5" t="s">
        <v>3</v>
      </c>
    </row>
    <row r="6" spans="1:1">
      <c r="A6" t="s">
        <v>4</v>
      </c>
    </row>
    <row r="7" spans="1:1">
      <c r="A7" t="s">
        <v>5</v>
      </c>
    </row>
    <row r="8" spans="1:1">
      <c r="A8" t="s">
        <v>6</v>
      </c>
    </row>
    <row r="9" spans="1:1">
      <c r="A9" t="s">
        <v>7</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16"/>
  <sheetViews>
    <sheetView tabSelected="1" workbookViewId="0">
      <pane xSplit="1" ySplit="1" topLeftCell="B16" activePane="bottomRight" state="frozen"/>
      <selection/>
      <selection pane="topRight"/>
      <selection pane="bottomLeft"/>
      <selection pane="bottomRight" activeCell="A1" sqref="A1:U16"/>
    </sheetView>
  </sheetViews>
  <sheetFormatPr defaultColWidth="9" defaultRowHeight="14.4"/>
  <cols>
    <col min="1" max="1" width="9" customWidth="1"/>
    <col min="2" max="2" width="14" customWidth="1"/>
    <col min="3" max="3" width="16" customWidth="1"/>
    <col min="4" max="4" width="12.1111111111111" customWidth="1"/>
    <col min="5" max="5" width="40" customWidth="1"/>
    <col min="6" max="6" width="55" customWidth="1"/>
    <col min="7" max="7" width="40" customWidth="1"/>
    <col min="8" max="8" width="30" customWidth="1"/>
    <col min="10" max="10" width="80" customWidth="1"/>
    <col min="11" max="11" width="30" customWidth="1"/>
    <col min="12" max="12" width="60" customWidth="1"/>
    <col min="13" max="13" width="7" customWidth="1"/>
    <col min="19" max="19" width="12" customWidth="1"/>
    <col min="20" max="20" width="40" customWidth="1"/>
    <col min="21" max="21" width="15.6666666666667" customWidth="1"/>
  </cols>
  <sheetData>
    <row r="1" ht="57.6" spans="1:21">
      <c r="A1" s="2" t="s">
        <v>8</v>
      </c>
      <c r="B1" s="2" t="s">
        <v>9</v>
      </c>
      <c r="C1" s="2" t="s">
        <v>10</v>
      </c>
      <c r="D1" s="2" t="s">
        <v>11</v>
      </c>
      <c r="E1" s="2" t="s">
        <v>12</v>
      </c>
      <c r="F1" s="2" t="s">
        <v>13</v>
      </c>
      <c r="G1" s="2" t="s">
        <v>14</v>
      </c>
      <c r="H1" s="2" t="s">
        <v>15</v>
      </c>
      <c r="I1" s="2" t="s">
        <v>16</v>
      </c>
      <c r="J1" s="2" t="s">
        <v>17</v>
      </c>
      <c r="K1" s="2" t="s">
        <v>18</v>
      </c>
      <c r="L1" s="2" t="s">
        <v>19</v>
      </c>
      <c r="M1" s="3" t="s">
        <v>20</v>
      </c>
      <c r="N1" s="3" t="s">
        <v>21</v>
      </c>
      <c r="O1" s="3" t="s">
        <v>22</v>
      </c>
      <c r="P1" s="3" t="s">
        <v>23</v>
      </c>
      <c r="Q1" s="3" t="s">
        <v>24</v>
      </c>
      <c r="R1" s="3" t="s">
        <v>25</v>
      </c>
      <c r="S1" s="3" t="s">
        <v>26</v>
      </c>
      <c r="T1" s="3" t="s">
        <v>27</v>
      </c>
      <c r="U1" s="3" t="s">
        <v>28</v>
      </c>
    </row>
    <row r="2" ht="150" customHeight="1" spans="1:21">
      <c r="A2" s="4" t="s">
        <v>29</v>
      </c>
      <c r="B2" s="4" t="s">
        <v>30</v>
      </c>
      <c r="C2" s="4" t="s">
        <v>31</v>
      </c>
      <c r="D2" s="4" t="s">
        <v>32</v>
      </c>
      <c r="E2" s="4" t="s">
        <v>33</v>
      </c>
      <c r="F2" s="4" t="s">
        <v>34</v>
      </c>
      <c r="G2" s="4" t="s">
        <v>35</v>
      </c>
      <c r="H2" s="4" t="s">
        <v>36</v>
      </c>
      <c r="I2" s="4" t="s">
        <v>37</v>
      </c>
      <c r="J2" s="4" t="s">
        <v>38</v>
      </c>
      <c r="K2" s="5" t="s">
        <v>39</v>
      </c>
      <c r="L2" s="4" t="s">
        <v>40</v>
      </c>
      <c r="M2" s="1" t="s">
        <v>41</v>
      </c>
      <c r="N2" s="1" t="s">
        <v>42</v>
      </c>
      <c r="O2" s="1" t="s">
        <v>41</v>
      </c>
      <c r="P2" s="1" t="s">
        <v>41</v>
      </c>
      <c r="Q2" s="1" t="s">
        <v>41</v>
      </c>
      <c r="R2" s="1" t="s">
        <v>41</v>
      </c>
      <c r="S2" s="1" t="s">
        <v>43</v>
      </c>
      <c r="T2" s="1" t="s">
        <v>44</v>
      </c>
      <c r="U2" s="1" t="s">
        <v>45</v>
      </c>
    </row>
    <row r="3" ht="150" customHeight="1" spans="1:21">
      <c r="A3" s="4" t="s">
        <v>46</v>
      </c>
      <c r="B3" s="4" t="s">
        <v>30</v>
      </c>
      <c r="C3" s="4" t="s">
        <v>31</v>
      </c>
      <c r="D3" s="4" t="s">
        <v>32</v>
      </c>
      <c r="E3" s="4" t="s">
        <v>47</v>
      </c>
      <c r="F3" s="4" t="s">
        <v>48</v>
      </c>
      <c r="G3" s="4" t="s">
        <v>49</v>
      </c>
      <c r="H3" s="4" t="s">
        <v>50</v>
      </c>
      <c r="I3" s="4" t="s">
        <v>37</v>
      </c>
      <c r="J3" s="4" t="s">
        <v>51</v>
      </c>
      <c r="K3" s="5" t="s">
        <v>52</v>
      </c>
      <c r="L3" s="4" t="s">
        <v>53</v>
      </c>
      <c r="M3" s="1" t="s">
        <v>41</v>
      </c>
      <c r="N3" s="1" t="s">
        <v>42</v>
      </c>
      <c r="O3" s="1" t="s">
        <v>41</v>
      </c>
      <c r="P3" s="1" t="s">
        <v>41</v>
      </c>
      <c r="Q3" s="1" t="s">
        <v>41</v>
      </c>
      <c r="R3" s="1" t="s">
        <v>41</v>
      </c>
      <c r="S3" s="1" t="s">
        <v>43</v>
      </c>
      <c r="T3" s="1" t="s">
        <v>44</v>
      </c>
      <c r="U3" s="1" t="s">
        <v>45</v>
      </c>
    </row>
    <row r="4" ht="150" customHeight="1" spans="1:21">
      <c r="A4" s="4" t="s">
        <v>54</v>
      </c>
      <c r="B4" s="4" t="s">
        <v>55</v>
      </c>
      <c r="C4" s="4" t="s">
        <v>31</v>
      </c>
      <c r="D4" s="4" t="s">
        <v>32</v>
      </c>
      <c r="E4" s="4" t="s">
        <v>56</v>
      </c>
      <c r="F4" s="4" t="s">
        <v>57</v>
      </c>
      <c r="G4" s="4" t="s">
        <v>58</v>
      </c>
      <c r="H4" s="4" t="s">
        <v>59</v>
      </c>
      <c r="I4" s="4" t="s">
        <v>37</v>
      </c>
      <c r="J4" s="4" t="s">
        <v>60</v>
      </c>
      <c r="K4" s="5" t="s">
        <v>61</v>
      </c>
      <c r="L4" s="4" t="s">
        <v>62</v>
      </c>
      <c r="M4" s="1" t="s">
        <v>41</v>
      </c>
      <c r="N4" s="1" t="s">
        <v>42</v>
      </c>
      <c r="O4" s="1" t="s">
        <v>41</v>
      </c>
      <c r="P4" s="1" t="s">
        <v>41</v>
      </c>
      <c r="Q4" s="1" t="s">
        <v>41</v>
      </c>
      <c r="R4" s="1" t="s">
        <v>41</v>
      </c>
      <c r="S4" s="1" t="s">
        <v>43</v>
      </c>
      <c r="T4" s="1" t="s">
        <v>44</v>
      </c>
      <c r="U4" s="1" t="s">
        <v>45</v>
      </c>
    </row>
    <row r="5" ht="150" customHeight="1" spans="1:21">
      <c r="A5" s="4" t="s">
        <v>63</v>
      </c>
      <c r="B5" s="4" t="s">
        <v>30</v>
      </c>
      <c r="C5" s="4" t="s">
        <v>31</v>
      </c>
      <c r="D5" s="4" t="s">
        <v>32</v>
      </c>
      <c r="E5" s="4" t="s">
        <v>64</v>
      </c>
      <c r="F5" s="4" t="s">
        <v>65</v>
      </c>
      <c r="G5" s="4" t="s">
        <v>66</v>
      </c>
      <c r="H5" s="4" t="s">
        <v>67</v>
      </c>
      <c r="I5" s="4" t="s">
        <v>37</v>
      </c>
      <c r="J5" s="4" t="s">
        <v>68</v>
      </c>
      <c r="K5" s="5" t="s">
        <v>69</v>
      </c>
      <c r="L5" s="4" t="s">
        <v>70</v>
      </c>
      <c r="M5" s="1" t="s">
        <v>41</v>
      </c>
      <c r="N5" s="1" t="s">
        <v>42</v>
      </c>
      <c r="O5" s="1" t="s">
        <v>41</v>
      </c>
      <c r="P5" s="1" t="s">
        <v>41</v>
      </c>
      <c r="Q5" s="1" t="s">
        <v>41</v>
      </c>
      <c r="R5" s="1" t="s">
        <v>41</v>
      </c>
      <c r="S5" s="1" t="s">
        <v>43</v>
      </c>
      <c r="T5" s="1" t="s">
        <v>44</v>
      </c>
      <c r="U5" s="1" t="s">
        <v>45</v>
      </c>
    </row>
    <row r="6" ht="150" customHeight="1" spans="1:21">
      <c r="A6" s="4" t="s">
        <v>71</v>
      </c>
      <c r="B6" s="4" t="s">
        <v>30</v>
      </c>
      <c r="C6" s="4" t="s">
        <v>31</v>
      </c>
      <c r="D6" s="4" t="s">
        <v>32</v>
      </c>
      <c r="E6" s="4" t="s">
        <v>72</v>
      </c>
      <c r="F6" s="4" t="s">
        <v>73</v>
      </c>
      <c r="G6" s="4" t="s">
        <v>74</v>
      </c>
      <c r="H6" s="4" t="s">
        <v>75</v>
      </c>
      <c r="I6" s="4" t="s">
        <v>37</v>
      </c>
      <c r="J6" s="4" t="s">
        <v>76</v>
      </c>
      <c r="K6" s="5" t="s">
        <v>77</v>
      </c>
      <c r="L6" s="4" t="s">
        <v>78</v>
      </c>
      <c r="M6" s="1" t="s">
        <v>41</v>
      </c>
      <c r="N6" s="1" t="s">
        <v>42</v>
      </c>
      <c r="O6" s="1" t="s">
        <v>41</v>
      </c>
      <c r="P6" s="1" t="s">
        <v>41</v>
      </c>
      <c r="Q6" s="1" t="s">
        <v>41</v>
      </c>
      <c r="R6" s="1" t="s">
        <v>41</v>
      </c>
      <c r="S6" s="1" t="s">
        <v>43</v>
      </c>
      <c r="T6" s="1" t="s">
        <v>44</v>
      </c>
      <c r="U6" s="1" t="s">
        <v>45</v>
      </c>
    </row>
    <row r="7" ht="150" customHeight="1" spans="1:21">
      <c r="A7" s="4" t="s">
        <v>79</v>
      </c>
      <c r="B7" s="4" t="s">
        <v>30</v>
      </c>
      <c r="C7" s="4" t="s">
        <v>31</v>
      </c>
      <c r="D7" s="4" t="s">
        <v>32</v>
      </c>
      <c r="E7" s="4" t="s">
        <v>80</v>
      </c>
      <c r="F7" s="4" t="s">
        <v>81</v>
      </c>
      <c r="G7" s="4" t="s">
        <v>82</v>
      </c>
      <c r="H7" s="4" t="s">
        <v>83</v>
      </c>
      <c r="I7" s="4" t="s">
        <v>37</v>
      </c>
      <c r="J7" s="4" t="s">
        <v>84</v>
      </c>
      <c r="K7" s="5" t="s">
        <v>85</v>
      </c>
      <c r="L7" s="4" t="s">
        <v>86</v>
      </c>
      <c r="M7" s="1" t="s">
        <v>41</v>
      </c>
      <c r="N7" s="1" t="s">
        <v>42</v>
      </c>
      <c r="O7" s="1" t="s">
        <v>41</v>
      </c>
      <c r="P7" s="1" t="s">
        <v>41</v>
      </c>
      <c r="Q7" s="1" t="s">
        <v>41</v>
      </c>
      <c r="R7" s="1" t="s">
        <v>41</v>
      </c>
      <c r="S7" s="1" t="s">
        <v>43</v>
      </c>
      <c r="T7" s="1" t="s">
        <v>44</v>
      </c>
      <c r="U7" s="1" t="s">
        <v>45</v>
      </c>
    </row>
    <row r="8" ht="150" customHeight="1" spans="1:21">
      <c r="A8" s="4" t="s">
        <v>87</v>
      </c>
      <c r="B8" s="4" t="s">
        <v>30</v>
      </c>
      <c r="C8" s="4" t="s">
        <v>31</v>
      </c>
      <c r="D8" s="4" t="s">
        <v>32</v>
      </c>
      <c r="E8" s="4" t="s">
        <v>88</v>
      </c>
      <c r="F8" s="4" t="s">
        <v>89</v>
      </c>
      <c r="G8" s="4" t="s">
        <v>90</v>
      </c>
      <c r="H8" s="4" t="s">
        <v>91</v>
      </c>
      <c r="I8" s="4" t="s">
        <v>37</v>
      </c>
      <c r="J8" s="4" t="s">
        <v>92</v>
      </c>
      <c r="K8" s="5" t="s">
        <v>93</v>
      </c>
      <c r="L8" s="4" t="s">
        <v>94</v>
      </c>
      <c r="M8" s="1" t="s">
        <v>41</v>
      </c>
      <c r="N8" s="1" t="s">
        <v>42</v>
      </c>
      <c r="O8" s="1" t="s">
        <v>41</v>
      </c>
      <c r="P8" s="1" t="s">
        <v>41</v>
      </c>
      <c r="Q8" s="1" t="s">
        <v>41</v>
      </c>
      <c r="R8" s="1" t="s">
        <v>41</v>
      </c>
      <c r="S8" s="1" t="s">
        <v>43</v>
      </c>
      <c r="T8" s="1" t="s">
        <v>44</v>
      </c>
      <c r="U8" s="1" t="s">
        <v>45</v>
      </c>
    </row>
    <row r="9" ht="150" customHeight="1" spans="1:21">
      <c r="A9" s="4" t="s">
        <v>95</v>
      </c>
      <c r="B9" s="4" t="s">
        <v>96</v>
      </c>
      <c r="C9" s="4" t="s">
        <v>31</v>
      </c>
      <c r="D9" s="4" t="s">
        <v>32</v>
      </c>
      <c r="E9" s="4" t="s">
        <v>97</v>
      </c>
      <c r="F9" s="4" t="s">
        <v>98</v>
      </c>
      <c r="G9" s="4" t="s">
        <v>99</v>
      </c>
      <c r="H9" s="4" t="s">
        <v>100</v>
      </c>
      <c r="I9" s="4" t="s">
        <v>37</v>
      </c>
      <c r="J9" s="4" t="s">
        <v>101</v>
      </c>
      <c r="K9" s="5" t="s">
        <v>102</v>
      </c>
      <c r="L9" s="4" t="s">
        <v>103</v>
      </c>
      <c r="M9" s="1" t="s">
        <v>41</v>
      </c>
      <c r="N9" s="1" t="s">
        <v>42</v>
      </c>
      <c r="O9" s="1" t="s">
        <v>104</v>
      </c>
      <c r="P9" s="1" t="s">
        <v>41</v>
      </c>
      <c r="Q9" s="1" t="s">
        <v>41</v>
      </c>
      <c r="R9" s="1" t="s">
        <v>41</v>
      </c>
      <c r="S9" s="1" t="s">
        <v>105</v>
      </c>
      <c r="T9" s="1" t="s">
        <v>106</v>
      </c>
      <c r="U9" s="1" t="s">
        <v>45</v>
      </c>
    </row>
    <row r="10" ht="150" customHeight="1" spans="1:21">
      <c r="A10" s="4" t="s">
        <v>107</v>
      </c>
      <c r="B10" s="4" t="s">
        <v>30</v>
      </c>
      <c r="C10" s="4" t="s">
        <v>31</v>
      </c>
      <c r="D10" s="4" t="s">
        <v>32</v>
      </c>
      <c r="E10" s="4" t="s">
        <v>108</v>
      </c>
      <c r="F10" s="4" t="s">
        <v>109</v>
      </c>
      <c r="G10" s="4" t="s">
        <v>110</v>
      </c>
      <c r="H10" s="4" t="s">
        <v>111</v>
      </c>
      <c r="I10" s="4" t="s">
        <v>37</v>
      </c>
      <c r="J10" s="4" t="s">
        <v>112</v>
      </c>
      <c r="K10" s="5" t="s">
        <v>113</v>
      </c>
      <c r="L10" s="4" t="s">
        <v>114</v>
      </c>
      <c r="M10" s="1" t="s">
        <v>41</v>
      </c>
      <c r="N10" s="1" t="s">
        <v>42</v>
      </c>
      <c r="O10" s="1" t="s">
        <v>41</v>
      </c>
      <c r="P10" s="1" t="s">
        <v>41</v>
      </c>
      <c r="Q10" s="1" t="s">
        <v>41</v>
      </c>
      <c r="R10" s="1" t="s">
        <v>41</v>
      </c>
      <c r="S10" s="1" t="s">
        <v>43</v>
      </c>
      <c r="T10" s="1" t="s">
        <v>44</v>
      </c>
      <c r="U10" s="1" t="s">
        <v>45</v>
      </c>
    </row>
    <row r="11" ht="150" customHeight="1" spans="1:21">
      <c r="A11" s="4" t="s">
        <v>115</v>
      </c>
      <c r="B11" s="4" t="s">
        <v>55</v>
      </c>
      <c r="C11" s="4" t="s">
        <v>31</v>
      </c>
      <c r="D11" s="4" t="s">
        <v>32</v>
      </c>
      <c r="E11" s="4" t="s">
        <v>116</v>
      </c>
      <c r="F11" s="4" t="s">
        <v>117</v>
      </c>
      <c r="G11" s="4" t="s">
        <v>118</v>
      </c>
      <c r="H11" s="4" t="s">
        <v>119</v>
      </c>
      <c r="I11" s="4" t="s">
        <v>37</v>
      </c>
      <c r="J11" s="4" t="s">
        <v>120</v>
      </c>
      <c r="K11" s="5" t="s">
        <v>121</v>
      </c>
      <c r="L11" s="4" t="s">
        <v>122</v>
      </c>
      <c r="M11" s="1" t="s">
        <v>41</v>
      </c>
      <c r="N11" s="1" t="s">
        <v>42</v>
      </c>
      <c r="O11" s="1" t="s">
        <v>104</v>
      </c>
      <c r="P11" s="1" t="s">
        <v>41</v>
      </c>
      <c r="Q11" s="1" t="s">
        <v>41</v>
      </c>
      <c r="R11" s="1" t="s">
        <v>41</v>
      </c>
      <c r="S11" s="1" t="s">
        <v>105</v>
      </c>
      <c r="T11" s="1" t="s">
        <v>123</v>
      </c>
      <c r="U11" s="1" t="s">
        <v>45</v>
      </c>
    </row>
    <row r="12" ht="150" customHeight="1" spans="1:21">
      <c r="A12" s="4" t="s">
        <v>124</v>
      </c>
      <c r="B12" s="4" t="s">
        <v>30</v>
      </c>
      <c r="C12" s="4" t="s">
        <v>31</v>
      </c>
      <c r="D12" s="4" t="s">
        <v>32</v>
      </c>
      <c r="E12" s="4" t="s">
        <v>125</v>
      </c>
      <c r="F12" s="4" t="s">
        <v>126</v>
      </c>
      <c r="G12" s="4" t="s">
        <v>127</v>
      </c>
      <c r="H12" s="4" t="s">
        <v>128</v>
      </c>
      <c r="I12" s="4" t="s">
        <v>37</v>
      </c>
      <c r="J12" s="4" t="s">
        <v>129</v>
      </c>
      <c r="K12" s="5" t="s">
        <v>130</v>
      </c>
      <c r="L12" s="4" t="s">
        <v>131</v>
      </c>
      <c r="M12" s="1" t="s">
        <v>41</v>
      </c>
      <c r="N12" s="1" t="s">
        <v>42</v>
      </c>
      <c r="O12" s="1" t="s">
        <v>41</v>
      </c>
      <c r="P12" s="1" t="s">
        <v>41</v>
      </c>
      <c r="Q12" s="1" t="s">
        <v>41</v>
      </c>
      <c r="R12" s="1" t="s">
        <v>41</v>
      </c>
      <c r="S12" s="1" t="s">
        <v>43</v>
      </c>
      <c r="T12" s="1" t="s">
        <v>44</v>
      </c>
      <c r="U12" s="1" t="s">
        <v>45</v>
      </c>
    </row>
    <row r="13" ht="150" customHeight="1" spans="1:21">
      <c r="A13" s="4" t="s">
        <v>132</v>
      </c>
      <c r="B13" s="4" t="s">
        <v>133</v>
      </c>
      <c r="C13" s="4" t="s">
        <v>31</v>
      </c>
      <c r="D13" s="4" t="s">
        <v>32</v>
      </c>
      <c r="E13" s="4" t="s">
        <v>134</v>
      </c>
      <c r="F13" s="4" t="s">
        <v>135</v>
      </c>
      <c r="G13" s="4" t="s">
        <v>136</v>
      </c>
      <c r="H13" s="4" t="s">
        <v>137</v>
      </c>
      <c r="I13" s="4" t="s">
        <v>37</v>
      </c>
      <c r="J13" s="4" t="s">
        <v>138</v>
      </c>
      <c r="K13" s="5" t="s">
        <v>139</v>
      </c>
      <c r="L13" s="4" t="s">
        <v>140</v>
      </c>
      <c r="M13" s="1" t="s">
        <v>41</v>
      </c>
      <c r="N13" s="1" t="s">
        <v>42</v>
      </c>
      <c r="O13" s="1" t="s">
        <v>41</v>
      </c>
      <c r="P13" s="1" t="s">
        <v>41</v>
      </c>
      <c r="Q13" s="1" t="s">
        <v>41</v>
      </c>
      <c r="R13" s="1" t="s">
        <v>41</v>
      </c>
      <c r="S13" s="1" t="s">
        <v>43</v>
      </c>
      <c r="T13" s="1" t="s">
        <v>44</v>
      </c>
      <c r="U13" s="1" t="s">
        <v>45</v>
      </c>
    </row>
    <row r="14" ht="150" customHeight="1" spans="1:21">
      <c r="A14" s="4" t="s">
        <v>141</v>
      </c>
      <c r="B14" s="4" t="s">
        <v>55</v>
      </c>
      <c r="C14" s="4" t="s">
        <v>142</v>
      </c>
      <c r="D14" s="4" t="s">
        <v>32</v>
      </c>
      <c r="E14" s="4" t="s">
        <v>143</v>
      </c>
      <c r="F14" s="4" t="s">
        <v>144</v>
      </c>
      <c r="G14" s="4" t="s">
        <v>145</v>
      </c>
      <c r="H14" s="4" t="s">
        <v>146</v>
      </c>
      <c r="I14" s="4" t="s">
        <v>37</v>
      </c>
      <c r="J14" s="4" t="s">
        <v>147</v>
      </c>
      <c r="K14" s="5" t="s">
        <v>148</v>
      </c>
      <c r="L14" s="4" t="s">
        <v>149</v>
      </c>
      <c r="M14" s="1" t="s">
        <v>41</v>
      </c>
      <c r="N14" s="1" t="s">
        <v>42</v>
      </c>
      <c r="O14" s="1" t="s">
        <v>104</v>
      </c>
      <c r="P14" s="1" t="s">
        <v>41</v>
      </c>
      <c r="Q14" s="1" t="s">
        <v>41</v>
      </c>
      <c r="R14" s="1" t="s">
        <v>41</v>
      </c>
      <c r="S14" s="1" t="s">
        <v>105</v>
      </c>
      <c r="T14" s="1" t="s">
        <v>150</v>
      </c>
      <c r="U14" s="1" t="s">
        <v>45</v>
      </c>
    </row>
    <row r="15" ht="150" customHeight="1" spans="1:21">
      <c r="A15" s="4" t="s">
        <v>151</v>
      </c>
      <c r="B15" s="4" t="s">
        <v>152</v>
      </c>
      <c r="C15" s="4" t="s">
        <v>142</v>
      </c>
      <c r="D15" s="4" t="s">
        <v>153</v>
      </c>
      <c r="E15" s="4" t="s">
        <v>154</v>
      </c>
      <c r="F15" s="4" t="s">
        <v>155</v>
      </c>
      <c r="G15" s="4" t="s">
        <v>156</v>
      </c>
      <c r="H15" s="4" t="s">
        <v>157</v>
      </c>
      <c r="I15" s="4" t="s">
        <v>158</v>
      </c>
      <c r="J15" s="4" t="s">
        <v>159</v>
      </c>
      <c r="K15" s="5" t="s">
        <v>160</v>
      </c>
      <c r="L15" s="4" t="s">
        <v>161</v>
      </c>
      <c r="M15" s="1" t="s">
        <v>41</v>
      </c>
      <c r="N15" s="1" t="s">
        <v>42</v>
      </c>
      <c r="O15" s="1" t="s">
        <v>41</v>
      </c>
      <c r="P15" s="1" t="s">
        <v>41</v>
      </c>
      <c r="Q15" s="1" t="s">
        <v>104</v>
      </c>
      <c r="R15" s="1" t="s">
        <v>41</v>
      </c>
      <c r="S15" s="1" t="s">
        <v>105</v>
      </c>
      <c r="T15" s="1" t="s">
        <v>162</v>
      </c>
      <c r="U15" s="1" t="s">
        <v>45</v>
      </c>
    </row>
    <row r="16" ht="150" customHeight="1" spans="1:21">
      <c r="A16" s="4" t="s">
        <v>163</v>
      </c>
      <c r="B16" s="4" t="s">
        <v>30</v>
      </c>
      <c r="C16" s="4" t="s">
        <v>31</v>
      </c>
      <c r="D16" s="4" t="s">
        <v>32</v>
      </c>
      <c r="E16" s="4" t="s">
        <v>164</v>
      </c>
      <c r="F16" s="4" t="s">
        <v>165</v>
      </c>
      <c r="G16" s="4" t="s">
        <v>166</v>
      </c>
      <c r="H16" s="4" t="s">
        <v>167</v>
      </c>
      <c r="I16" s="4" t="s">
        <v>37</v>
      </c>
      <c r="J16" s="4" t="s">
        <v>168</v>
      </c>
      <c r="K16" s="5" t="s">
        <v>169</v>
      </c>
      <c r="L16" s="4" t="s">
        <v>170</v>
      </c>
      <c r="M16" s="1" t="s">
        <v>41</v>
      </c>
      <c r="N16" s="1" t="s">
        <v>42</v>
      </c>
      <c r="O16" s="1" t="s">
        <v>41</v>
      </c>
      <c r="P16" s="1" t="s">
        <v>41</v>
      </c>
      <c r="Q16" s="1" t="s">
        <v>41</v>
      </c>
      <c r="R16" s="1" t="s">
        <v>41</v>
      </c>
      <c r="S16" s="1" t="s">
        <v>43</v>
      </c>
      <c r="T16" s="1" t="s">
        <v>44</v>
      </c>
      <c r="U16" s="1" t="s">
        <v>45</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A1" sqref="A1:B5"/>
    </sheetView>
  </sheetViews>
  <sheetFormatPr defaultColWidth="9" defaultRowHeight="14.4" outlineLevelRow="4" outlineLevelCol="1"/>
  <cols>
    <col min="1" max="1" width="28" customWidth="1"/>
    <col min="2" max="2" width="14.6666666666667" customWidth="1"/>
  </cols>
  <sheetData>
    <row r="1" spans="1:2">
      <c r="A1" s="1" t="s">
        <v>28</v>
      </c>
      <c r="B1" s="1" t="s">
        <v>45</v>
      </c>
    </row>
    <row r="2" spans="1:2">
      <c r="A2" s="1" t="s">
        <v>171</v>
      </c>
      <c r="B2" s="1">
        <v>15</v>
      </c>
    </row>
    <row r="3" spans="1:2">
      <c r="A3" s="1" t="s">
        <v>43</v>
      </c>
      <c r="B3" s="1">
        <f>COUNTIF(Review!S2:S16,"Passed")</f>
        <v>11</v>
      </c>
    </row>
    <row r="4" spans="1:2">
      <c r="A4" s="1" t="s">
        <v>105</v>
      </c>
      <c r="B4" s="1">
        <f>COUNTIF(Review!S2:S16,"Passed after modification")</f>
        <v>4</v>
      </c>
    </row>
    <row r="5" spans="1:2">
      <c r="A5" s="1" t="s">
        <v>172</v>
      </c>
      <c r="B5" s="1">
        <f>COUNTIF(Review!S2:S16,"Rejected")</f>
        <v>0</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Instructions</vt:lpstr>
      <vt:lpstr>Review</vt:lpstr>
      <vt:lpstr>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飞龙宝宝</cp:lastModifiedBy>
  <dcterms:created xsi:type="dcterms:W3CDTF">2026-10-23T03:38:00Z</dcterms:created>
  <dcterms:modified xsi:type="dcterms:W3CDTF">2026-10-30T02:49:50Z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0EA1BFCC6BB54F81AAB552C9E16835BD_12</vt:lpwstr>
  </property>
  <property fmtid="{D5CDD505-2E9C-101B-9397-08002B2CF9AE}" pid="3" name="KSOProductBuildVer">
    <vt:lpwstr>2052-12.1.0.29161</vt:lpwstr>
  </property>
  <property fmtid="{D5CDD505-2E9C-101B-9397-08002B2CF9AE}" pid="4" name="CalculationRule">
    <vt:i4>0</vt:i4>
  </property>
</Properties>
</file>