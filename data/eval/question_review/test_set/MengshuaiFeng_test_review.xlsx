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odexWork\Working\RAG-Based-Apple-Pest-and-Disease-Question-Answering\data\eval\question_review\test_set\"/>
    </mc:Choice>
  </mc:AlternateContent>
  <bookViews>
    <workbookView windowWidth="23040" windowHeight="9060" activeTab="2"/>
  </bookViews>
  <sheets>
    <sheet name="Instructions" sheetId="1" r:id="rId1"/>
    <sheet name="Review" sheetId="2" r:id="rId2"/>
    <sheet name="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<sst xmlns="http://schemas.openxmlformats.org/spreadsheetml/2006/main" count="350" uniqueCount="173">
  <si>
    <t>Review workbook (read-only reference; make changes in the question bank workbook)</t>
  </si>
  <si>
    <t>One question per row. Left: question and reference answer; middle: cited passages and URLs; right: review columns.</t>
  </si>
  <si>
    <t>Check the reference answer sentence by sentence against the cited passages; open the original URL for full context when needed.</t>
  </si>
  <si>
    <t>Six checks, fill ✓ / ✗ / NA: 1 facts correct  2 numbers and units  3 qualifications kept  4 not beyond the source  5 required points sensible  6 question clear, no answer hints</t>
  </si>
  <si>
    <t>"Other retrieved passages" lists passages in the top 6 of vector retrieval that are not cited: if consistent with the reference answer they may be added to chunk_ids; conflicts are recorded in the change notes.</t>
  </si>
  <si>
    <t>For boundary questions, also confirm that the corpus really contains nothing that answers the "part to decline".</t>
  </si>
  <si>
    <t>Review result: Passed / Passed after modification / Rejected. For "Passed after modification", describe the change and update the question bank accordingly (keep required_points consistent with the reference answer, version + 1).</t>
  </si>
  <si>
    <t>The "Summary" sheet counts the results automatically, used in the report for the modification rate of LLM-drafted questions.</t>
  </si>
  <si>
    <t>question_id</t>
  </si>
  <si>
    <t>Question type</t>
  </si>
  <si>
    <t>Region</t>
  </si>
  <si>
    <t>Answerability</t>
  </si>
  <si>
    <t>Question</t>
  </si>
  <si>
    <t>Reference answer</t>
  </si>
  <si>
    <t>Required points</t>
  </si>
  <si>
    <t>Major errors</t>
  </si>
  <si>
    <t>Answerable / to decline</t>
  </si>
  <si>
    <t>Cited passages (text omitted)</t>
  </si>
  <si>
    <t>Original URL</t>
  </si>
  <si>
    <t>Other retrieved passages (text omitted)</t>
  </si>
  <si>
    <t>1 Facts correct</t>
  </si>
  <si>
    <t>2 Numbers and units</t>
  </si>
  <si>
    <t>3 Qualifications kept</t>
  </si>
  <si>
    <t>4 Not beyond the source</t>
  </si>
  <si>
    <t>5 Required points sensible</t>
  </si>
  <si>
    <t>6 Question clear</t>
  </si>
  <si>
    <t>Review result</t>
  </si>
  <si>
    <t>Change notes</t>
  </si>
  <si>
    <t>Reviewer</t>
  </si>
  <si>
    <t>T003</t>
  </si>
  <si>
    <t>symptoms_identification</t>
  </si>
  <si>
    <t>unspecified</t>
  </si>
  <si>
    <t>answerable</t>
  </si>
  <si>
    <t>Many of my apples have rough, net-like brown russeting on the skin. What could cause this?</t>
  </si>
  <si>
    <t>Several causes in the evidence produce fruit russeting. Powdery mildew can stunt and russet fruit, especially on highly susceptible cultivars. Apple rust mite feeding on the fruit skin causes tan russeting, usually concentrated around the calyx end, mainly a problem on light-coloured cultivars such as Golden Delicious. Western flower thrips feeding early in the season can leave fruit russeted at harvest (their egg-laying also causes pale pansy spots). Check for mildew on shoots in spring and for rust mites on leaves with a hand lens to narrow it down.</t>
  </si>
  <si>
    <t>• lists more than one possible cause
• powdery mildew can russet fruit
• apple rust mite russeting near the calyx on light-coloured cultivars
• thrips early feeding can cause russet</t>
  </si>
  <si>
    <t>• states a single cause with certainty
• attributes russet to a storage rot</t>
  </si>
  <si>
    <t/>
  </si>
  <si>
    <t>[S003:web:1 | Powdery Mildew | Symptoms and Signs | United States - California | date Text Updated: 03/09; Treatment Table Updated: 10/15]
[S014:web:10 | Apple Powdery Mildew | Description and Identification | United States - Pacific Northwest | date 2024-07]
[S089:web:7 | Apple rust mite | Damage | United States - Pacific Northwest | date by Elizabeth H. Beers , George N. Oldfiield, and Peter H. Westigard, originally published 1993]
[S251:web:2 | Tree Fruit Mite Pest - Apple Rust Mite | Description and life cycle | United States - Pennsylvania | date October 30, 2023]
[S155:web:8 | Western flower thrips | Damage | United States - Pacific Northwest | date by Irene Terry, Elizabeth H. Beers, and S. Cockfield, originally published 1993; revised December 2007; revised December 2007]
[passage text omitted for copyright; see the chunk ids above and data/registers/source_register.json]</t>
  </si>
  <si>
    <t>https://ipm.ucanr.edu/agriculture/apple/powdery-mildew/
https://treefruit.wsu.edu/crop-protection/apple-powdery-mildew/
https://treefruit.wsu.edu/crop-protection/opm/apple-rust-mite/
https://extension.psu.edu/tree-fruit-mite-pest-apple-rust-mite
https://treefruit.wsu.edu/crop-protection/opm/western-flower-thrips/</t>
  </si>
  <si>
    <t>Retrieval rank of cited passage: 2
#1 S001:web:1 (0.719)Apple Scab | Symptoms and Signs
#2 S174:web:2 (0.692)Fact Sheet: Apple Scab | What does apple scab look like?
#3 S072:web:7 (0.682)Apple Anthracnose | Bull’s-eye Rot
#4 S109:web:7 (0.681)Grape mealybug | Damage
[passage text omitted for copyright; see the chunk ids above and data/registers/source_register.json]</t>
  </si>
  <si>
    <t>✓</t>
  </si>
  <si>
    <t>NA</t>
  </si>
  <si>
    <t>Passed</t>
  </si>
  <si>
    <t>Evidence and answer are broadly consistent; key symptoms, identification and management points are clear.</t>
  </si>
  <si>
    <t>Mengshuai Feng</t>
  </si>
  <si>
    <t>T006</t>
  </si>
  <si>
    <t>My apples have small red-purple rings around tiny spots, and the bark has tiny grey crusty scales. What is it and what should I do?</t>
  </si>
  <si>
    <t>This is San Jose scale: each scale settling on fruit causes a reddish purple ring or red spot, often with a slight depression; on the bark the scales are tiny, grey to black covers. Heavy infestations weaken trees, kill twigs and limbs, and can kill young trees; infested fruit is unmarketable. Dormant-season treatment is the key control (UC IPM: oil sprays work best on the overwintering black-cap stage); crawler sprays timed by degree-days after male flight or crawler emergence are the other effective window. Natural enemies help when not disrupted by insecticides, and infested trees should be checked during pruning.</t>
  </si>
  <si>
    <t>• identifies San Jose scale
• red/purple spots or rings on fruit; grey scale covers on bark
• can kill twigs, limbs and young trees
• dormant oil (and crawler sprays timed by degree-days) as key control</t>
  </si>
  <si>
    <t>• diagnoses a fungal fruit spot
• recommends only foliar fungicides</t>
  </si>
  <si>
    <t>[S011:web:2 | San Jose Scale | Damage | United States - California | date Text Updated: 03/09; Treatment Table Updated: 10/15]
[S138:web:1 | San Jose scale | Quadraspidiotus perniciosus (Comstock) (Homoptera: Diaspididae) | United States - Pacific Northwest | date by Stanley C. Hoyt, originally published 1993]
[S138:web:6 | San Jose scale | Damage | United States - Pacific Northwest | date by Stanley C. Hoyt, originally published 1993]
[S011:web:3 | San Jose Scale | Management | United States - California | date Text Updated: 03/09; Treatment Table Updated: 10/15]
[S011:web:6 | San Jose Scale | Monitoring and Treatment Decisions | United States - California | date Text Updated: 03/09; Treatment Table Updated: 10/15]
[S011:web:4 | San Jose Scale | Biological Control | United States - California | date Text Updated: 03/09; Treatment Table Updated: 10/15]
[passage text omitted for copyright; see the chunk ids above and data/registers/source_register.json]</t>
  </si>
  <si>
    <t>https://ipm.ucanr.edu/agriculture/apple/san-jose-scale/
https://treefruit.wsu.edu/crop-protection/opm/san-jose-scale/</t>
  </si>
  <si>
    <t>Retrieval rank of cited passage: 1
#1 S209:web:2 (0.704)Apple Disease - Marssonina Blotch | Marssonina Blotch Symptoms on Apple Trees
#2 S236:web:2 (0.701)Tree Fruit Insect Pest - Rosy Apple Aphid | Description and life cycle
#3 S250:web:2 (0.699)Pome Fruit Disease - Rust | Symptoms
#4 S001:web:1 (0.696)Apple Scab | Symptoms and Signs
#5 Pfad1d86df7e72095:p3:c1 (0.694)Apple Anthracnose | Apple anthracnose: symptoms, cycle and cultural management
[passage text omitted for copyright; see the chunk ids above and data/registers/source_register.json]</t>
  </si>
  <si>
    <t>T010</t>
  </si>
  <si>
    <t>The leaves on my apple trees are finely speckled pale and I can see tiny greenish-yellow mites with a dark spot on each side. What are they?</t>
  </si>
  <si>
    <t>These are webspinning spider mites (e.g. twospotted spider mite): adult females are green to yellow with a dark spot on each side of the body. Their feeding gives leaves a finely stippled look; heavy infestations cause severe bronzing, premature leaf drop, and poorly coloured and sized fruit. They differ from European red mite, which is red (adults dark red with white spots). They build up in hot, dry weather, especially in dusty or water-stressed parts of the orchard. Natural enemies keep them low in many orchards; UC IPM treats at about 10 mites per leaf, but one predatory mite per 10 pest mites may make treatment unnecessary.</t>
  </si>
  <si>
    <t>• identifies webspinning/twospotted spider mites
• distinguishes from red European red mite
• stippling to bronzing, leaf drop, fruit effects
• favoured by hot dry dusty conditions; predators; threshold about 10 mites/leaf</t>
  </si>
  <si>
    <t>• identifies the mites as European red mite
• recommends treatment without considering predators</t>
  </si>
  <si>
    <t>[S055:web:1 | Webspinning Spider Mites | Description of the Pest | United States - California | date Text Updated: 03/09; Treatment Table Updated: 10/15]
[S055:web:2 | Webspinning Spider Mites | Damage | United States - California | date Text Updated: 03/09; Treatment Table Updated: 10/15]
[S142:web:29 | Twospotted spider mite | Damage | United States - Pacific Northwest | date by Elizabeth H. Beers and Stanley C. Hoyt, originally published 1993; by Stanley C. Hoyt and Elizabeth H. Beers, originally published 1993; by Elizabeth H. Beers and Peter H. Westigard, originally published 1993; by Elizabeth H. Beers and Stanley C. Hoyt, originally published 1993; revised December 2007; by Elizabeth H. Beers, Published online December 2007; revised December 2007]
[S008:web:1 | European Red Mite | Description of the Pest | United States - California | date Text Updated: 03/09; Treatment Table Updated: 10/15]
[S055:web:3 | Webspinning Spider Mites | Management | United States - California | date Text Updated: 03/09; Treatment Table Updated: 10/15]
[S055:web:8 | Webspinning Spider Mites | Monitoring and Treatment Decisions | United States - California | date Text Updated: 03/09; Treatment Table Updated: 10/15]
[passage text omitted for copyright; see the chunk ids above and data/registers/source_register.json]</t>
  </si>
  <si>
    <t>https://ipm.ucanr.edu/agriculture/apple/webspinning-spider-mites/
https://treefruit.wsu.edu/crop-protection/opm/spider-mites/
https://ipm.ucanr.edu/agriculture/apple/european-red-mite/</t>
  </si>
  <si>
    <t>Retrieval rank of cited passage: 5
#1 S251:web:3 (0.792)Tree Fruit Mite Pest - Apple Rust Mite | Feeding
#2 S251:web:2 (0.762)Tree Fruit Mite Pest - Apple Rust Mite | Description and life cycle
#3 S250:web:2 (0.758)Pome Fruit Disease - Rust | Symptoms
#4 S001:web:1 (0.741)Apple Scab | Symptoms and Signs
#5 S089:web:7 (0.737)Apple rust mite | Damage
[passage text omitted for copyright; see the chunk ids above and data/registers/source_register.json]</t>
  </si>
  <si>
    <t>T013</t>
  </si>
  <si>
    <t>My apples have dark sooty smudges and clusters of tiny black dots on the skin. What is this and is it harmful?</t>
  </si>
  <si>
    <t>These are sooty blotch (olive-green to dark sooty patches with irregular edges) and flyspeck (clusters of small shiny black dots), two fungal diseases that usually appear together in summer. They are superficial and only on the skin, but they spoil the appearance and reduce market value. They are favoured by long periods of high humidity and rain; inoculum comes from twigs and wild hosts such as brambles in hedgerows. Prevention: prune for air movement, mow grass to lower humidity, and reduce alternate hosts around the orchard. (Leafhopper excrement also leaves black specks, but those wash off.)</t>
  </si>
  <si>
    <t>• identifies sooty blotch and flyspeck
• superficial skin blemish that lowers market value, not internal rot
• favoured by high humidity; inoculum from twigs and wild hosts
• pruning, mowing, reducing alternate hosts</t>
  </si>
  <si>
    <t>• says the fruit is rotten inside
• recommends discarding all fruit as unsafe</t>
  </si>
  <si>
    <t>[S178:web:1 | Fact Sheet: Sooty Blotch and Fly Speck | Overview | United States | date unknown]
[S178:web:2 | Fact Sheet: Sooty Blotch and Fly Speck | Overview | United States | date unknown]
[Pc857494577bd34fb:p26:c1 | Apple IPM for Beginners | Summer diseases | United States - New York | date 2014]
[S047:web:2 | Leafhoppers | Damage | United States - California | date Text Updated: 03/09; Treatment Table Updated: 10/15]
[passage text omitted for copyright; see the chunk ids above and data/registers/source_register.json]</t>
  </si>
  <si>
    <t>https://blogs.cornell.edu/applevarietydatabase/factsheet-sooty-blotch-and-fly-speck/
https://blogs.cornell.edu/newfruit/files/2016/12/Apple_IPM_Beginners-21ahj65.pdf
https://ipm.ucanr.edu/agriculture/apple/leafhoppers/</t>
  </si>
  <si>
    <t>Retrieval rank of cited passage: 2
#1 S001:web:1 (0.792)Apple Scab | Symptoms and Signs
#2 Pac2f744e6d94a879:p19:c1 (0.727)Crop Profile for Apple in Canada, 2022 (Sixth Edition, 2023) | Apple Scab (Venturia inaequalis); biology/cultural management, Canada 2023
#3 S174:web:1 (0.724)Fact Sheet: Apple Scab | What is apple scab?
#4 S212:web:2 (0.721)Apple Diseases - Fruit Rots, Control at Apple Harvest (and Postharvest) | Necrotic Leaf Blotch vs. Gomerella Leaf Spot
[passage text omitted for copyright; see the chunk ids above and data/registers/source_register.json]</t>
  </si>
  <si>
    <t>T016</t>
  </si>
  <si>
    <t>Young branches on my apple trees have sunken, elliptical orange-brown cankers. What could cause this?</t>
  </si>
  <si>
    <t>This fits the anthracnose/perennial canker group caused by Neofabraea fungi. Apple anthracnose cankers start as small red spots on the bark after autumn rains and become elongated, sunken and orange to brown, with the bark cracking around the margin; in later stages they look stringy. Perennial canker first-year cankers are elliptical, sunken and orange, purple or brown, and are reactivated each year where woolly apple aphid feeds on the callus at the canker edge. The same fungi cause bull's eye rot of stored fruit. Prune out cankers and burn heavily infected wood, control woolly apple aphid, and use fungicides with pruning (WSU).</t>
  </si>
  <si>
    <t>• identifies apple anthracnose/perennial canker (Neofabraea)
• elongated/elliptical sunken orange-brown cankers
• link to woolly apple aphid and to bull's eye rot in storage
• prune out cankers; control woolly aphid</t>
  </si>
  <si>
    <t>• diagnoses fire blight shepherd's crook
• says no action is needed</t>
  </si>
  <si>
    <t>[S072:web:3 | Apple Anthracnose | Apple Anthracnose Canker | United States - Pacific Northwest | date Published: June 2016]
[S072:web:2 | Apple Anthracnose | Apple Anthracnose | United States - Pacific Northwest | date Published: June 2016]
[S072:web:11 | Apple Anthracnose | Perennial Canker | United States - Pacific Northwest | date Published: June 2016]
[S181:web:1 | Fact Sheet: Apple Anthracnose | Overview | United States | date unknown]
[S181:web:2 | Fact Sheet: Apple Anthracnose | Overview | United States | date unknown]
[S072:web:4 | Apple Anthracnose | Management in orchard | United States - Pacific Northwest | date Published: June 2016]
[S072:web:5 | Apple Anthracnose | Chemical controls | United States - Pacific Northwest | date Published: June 2016]
[S072:web:1 | Apple Anthracnose | Introduction | United States - Pacific Northwest | date Published: June 2016]
[passage text omitted for copyright; see the chunk ids above and data/registers/source_register.json]</t>
  </si>
  <si>
    <t>https://treefruit.wsu.edu/crop-protection/disease-management/apple-anthracnose/
https://blogs.cornell.edu/applevarietydatabase/factsheet-apple-anthracnose/</t>
  </si>
  <si>
    <t>Retrieval rank of cited passage: 1
#1 S015:web:4 (0.767)Fire Blight of Apple and Pear | Overwintering cankers
#2 Pfad1d86df7e72095:p2:c1 (0.760)Apple Anthracnose | Apple anthracnose: symptoms, cycle and cultural management
#3 Pfad1d86df7e72095:p1:c1 (0.759)Apple Anthracnose | Apple anthracnose introduction
#4 S004:web:1 (0.759)European Canker | Symptoms and Signs
[passage text omitted for copyright; see the chunk ids above and data/registers/source_register.json]</t>
  </si>
  <si>
    <t>T020</t>
  </si>
  <si>
    <t>The tips of new shoots on my apple trees are wilting and have a small hole with a worm inside. What is it?</t>
  </si>
  <si>
    <t>This fits oriental fruit moth: first-generation larvae enter growing shoot tips near a leaf axil and bore down several inches, so the tip wilts ('flagging'); dark tips with dry leaves and gum mean the larva has left. Later generations attack fruit, making meandering burrows that, unlike codling moth, do not go to the core and do not push frass out. Fire blight also makes shoot tips wilt but forms a shepherd's crook with no larva inside. Control: pheromone traps to set a biofix and degree-day timing against young larvae before they enter shoots, or mating disruption.</t>
  </si>
  <si>
    <t>• identifies oriental fruit moth shoot flagging
• larva boring down the shoot tip
• distinguishes from fire blight (no larva) and/or codling moth fruit damage
• pheromone traps, degree-day timing or mating disruption</t>
  </si>
  <si>
    <t>• diagnoses fire blight without checking for a larva
• recommends spraying after larvae are deep inside shoots as effective</t>
  </si>
  <si>
    <t>[S126:web:8 | Oriental fruit moth | Damage | United States - Pacific Northwest | date by Jay F. Brunner and Richard E. Rice, originally published 1993]
[S228:web:3 | Tree Fruit Insect Pest - Oriental Fruit Moth | Generations | United States - Pennsylvania | date February 25, 2026]
[S126:web:9 | Oriental fruit moth | Damage | United States - Pacific Northwest | date by Jay F. Brunner and Richard E. Rice, originally published 1993]
[S002:web:1 | Fire Blight | Symptoms and Signs | United States - California | date Text Updated: 03/09; Treatment Table Updated: 10/15]
[S126:web:10 | Oriental fruit moth | Monitoring | United States - Pacific Northwest | date by Jay F. Brunner and Richard E. Rice, originally published 1993]
[S126:web:11 | Oriental fruit moth | Management | United States - Pacific Northwest | date by Jay F. Brunner and Richard E. Rice, originally published 1993]
[S126:web:12 | Oriental fruit moth | Mating disruption | United States - Pacific Northwest | date by Jay F. Brunner and Richard E. Rice, originally published 1993]
[passage text omitted for copyright; see the chunk ids above and data/registers/source_register.json]</t>
  </si>
  <si>
    <t>https://treefruit.wsu.edu/crop-protection/opm/oriental-fruit-moth/
https://extension.psu.edu/tree-fruit-insect-pest-oriental-fruit-moth
https://ipm.ucanr.edu/agriculture/apple/fire-blight/</t>
  </si>
  <si>
    <t>cited passage not in the top 6
#1 S022:web:4 (0.747)Tree Fruit Insect Pest - Codling Moth | Damage
#2 S006:web:2 (0.738)Codling Moth | Damage
#3 S250:web:2 (0.732)Pome Fruit Disease - Rust | Symptoms
#4 Pc857494577bd34fb:p19:c1 (0.727)Apple IPM for Beginners | Fire blight: concern and cycle
#5 S238:web:3 (0.721)Tree Fruit Insect Pest - Shothole Borer | Injury
#6 S140:web:14 (0.718)Shothole borer, Ambrosia beetle | Ambrosia beetles
[passage text omitted for copyright; see the chunk ids above and data/registers/source_register.json]</t>
  </si>
  <si>
    <t>T021</t>
  </si>
  <si>
    <t>management_strategy</t>
  </si>
  <si>
    <t>Early in spring there are huge numbers of dark green aphids on the opening buds of my apple trees. Should I spray?</t>
  </si>
  <si>
    <t>Probably not: this is typical of apple grain aphid, the first aphid to appear (around green tip/silver tip), dark green with a lighter stripe along the back. Although buds can be completely covered, its feeding does little damage (at most slight leaf curling, occasionally bumpy fruit), and it migrates to grasses and grains by about petal fall. WSU and Penn State say it usually does not need control; its presence even builds up predators that help control later pest aphids. Rosy apple aphid and green aphids hatch later and are the ones that need attention.</t>
  </si>
  <si>
    <t>• identifies apple grain aphid
• little damage; leaves for grasses by petal fall
• usually no control needed; builds up predators
• distinguishes from rosy apple/green aphids that hatch later</t>
  </si>
  <si>
    <t>• recommends an immediate insecticide spray
• identifies it as rosy apple aphid</t>
  </si>
  <si>
    <t>[S086:web:1 | Apple grain aphid | Rhopalosiphum insertum (Walker) [= fitchii (Sanderson)] (Homoptera: Aphididae) | United States - Pacific Northwest | date by Michael J. Willett, originally published 1993]
[S216:web:2 | Tree Fruit Insect Pest - Apple Grain Aphid | Description and Life Cycle | United States - Pennsylvania | date February 25, 2026]
[S086:web:8 | Apple grain aphid | Damage | United States - Pacific Northwest | date by Michael J. Willett, originally published 1993]
[S086:web:7 | Apple grain aphid | Life history | United States - Pacific Northwest | date by Michael J. Willett, originally published 1993]
[S086:web:10 | Apple grain aphid | Management | United States - Pacific Northwest | date by Michael J. Willett, originally published 1993]
[S216:web:4 | Tree Fruit Insect Pest - Apple Grain Aphid | Monitoring and Management | United States - Pennsylvania | date February 25, 2026]
[S216:web:1 | Tree Fruit Insect Pest - Apple Grain Aphid | Overview | United States - Pennsylvania | date February 25, 2026]
[passage text omitted for copyright; see the chunk ids above and data/registers/source_register.json]</t>
  </si>
  <si>
    <t>https://treefruit.wsu.edu/crop-protection/opm/apple-grain-aphid/
https://extension.psu.edu/tree-fruit-insect-pest-apple-grain-aphid</t>
  </si>
  <si>
    <t>Retrieval rank of cited passage: 2
#1 S009:web:6 (0.828)Green Apple Aphid | Monitoring and Treatment Decisions
#2 S223:web:4 (0.814)Tree Fruit Insect Pest - Green Aphids (Apple and Spirea Aphid) | Monitoring
#3 S009:web:2 (0.810)Green Apple Aphid | Damage
#4 S010:web:1 (0.803)Rosy Apple Aphid | Description of the Pest
[passage text omitted for copyright; see the chunk ids above and data/registers/source_register.json]</t>
  </si>
  <si>
    <t>T025</t>
  </si>
  <si>
    <t>Big holes have been chewed into my young apples in spring by green caterpillars. What are they?</t>
  </si>
  <si>
    <t>These are likely green fruitworms: green caterpillars that feed on buds, flowers, leaves and young fruit in spring, often hiding in leaves webbed together on fruiting spurs; there is one generation a year. Fruittree leafroller larvae (green with a black head) can cause similar fruit damage. Fruitworm populations are patchy and can cause severe damage quickly, so sample fruit clusters from tight cluster until 2–3 weeks after petal fall. Insecticides used against codling moth appear to control green fruitworms, and Bt may give some control.</t>
  </si>
  <si>
    <t>• identifies green fruitworm
• spring feeding on buds, flowers and young fruit; one generation
• considers fruittree leafroller as an alternative
• sample clusters early; codling moth sprays or Bt</t>
  </si>
  <si>
    <t>• identifies the caterpillars as codling moth larvae</t>
  </si>
  <si>
    <t>[S108:web:8 | Fruitworms, armyworms and climbing cutworms | Damage | United States - Pacific Northwest | date unknown]
[S108:web:12 | Fruitworms, armyworms and climbing cutworms | Life history | United States - Pacific Northwest | date unknown]
[S108:web:1 | Fruitworms, armyworms and climbing cutworms | (Lepidoptera: Noctuidae) | United States - Pacific Northwest | date unknown]
[S044:web:2 | Fruittree Leafroller | Damage | United States - California | date Text Updated: 03/09; Treatment Table Updated: 10/15]
[S108:web:9 | Fruitworms, armyworms and climbing cutworms | Monitoring | United States - Pacific Northwest | date unknown]
[S108:web:11 | Fruitworms, armyworms and climbing cutworms | Management | United States - Pacific Northwest | date unknown]
[passage text omitted for copyright; see the chunk ids above and data/registers/source_register.json]</t>
  </si>
  <si>
    <t>https://treefruit.wsu.edu/crop-protection/opm/fruitworms/
https://ipm.ucanr.edu/agriculture/apple/fruittree-leafroller/</t>
  </si>
  <si>
    <t>cited passage not in the top 6
#1 S022:web:4 (0.738)Tree Fruit Insect Pest - Codling Moth | Damage
#2 Pc857494577bd34fb:p30:c1 (0.736)Apple IPM for Beginners | Worms in apple fruit
#3 Pbb050e80247f328d:p24:c1 (0.730)IPM Manual for Minnesota Apple Orchards | Historical Minnesota apple biology/monitoring; 2007 conditions
#4 S216:web:1 (0.727)Tree Fruit Insect Pest - Apple Grain Aphid | Overview
#5 S006:web:2 (0.721)Codling Moth | Damage
#6 S086:web:1 (0.708)Apple grain aphid | Rhopalosiphum insertum (Walker) [= fitchii (Sanderson)] (Homoptera: Aphididae)
[passage text omitted for copyright; see the chunk ids above and data/registers/source_register.json]</t>
  </si>
  <si>
    <t>T028</t>
  </si>
  <si>
    <t>monitoring_sampling</t>
  </si>
  <si>
    <t>When should I spray blossoms to protect against fire blight?</t>
  </si>
  <si>
    <t>Blossom sprays are only needed when infection risk is high: risk exists whenever flowers are open, the weather is warm and wetting occurs. Use a risk model to decide (e.g. Cougar Blight via the WSU Decision Aid System, Maryblyt, or the degree-hour models used in California); WSU advises applying antibiotics within the 24 hours before flower wetting after warm weather and repeating every 2–3 days during high risk, rotating modes of action, and protecting secondary blooms for about three weeks after petal fall. Most sprays protect only flowers already open. Removing cankers and strikes remains essential.</t>
  </si>
  <si>
    <t>• spray only during high-risk periods (open flowers, warmth, wetting)
• use a risk model to time sprays
• apply shortly before wetting; repeat every 2–3 days, rotate
• protect secondary blooms; sanitation remains essential</t>
  </si>
  <si>
    <t>• recommends calendar sprays throughout the season
• states antibiotics cure existing infections</t>
  </si>
  <si>
    <t>[S015:web:19 | Fire Blight of Apple and Pear | Chemical Control Programs | United States - Pacific Northwest | date unknown]
[S015:web:18 | Fire Blight of Apple and Pear | Temperature Risk Models | United States - Pacific Northwest | date unknown]
[S015:web:20 | Fire Blight of Apple and Pear | Conventional Management | United States - Pacific Northwest | date unknown]
[S002:web:5 | Fire Blight | Monitoring and Treatment Decisions | United States - California | date Text Updated: 03/09; Treatment Table Updated: 10/15]
[S015:web:23 | Fire Blight of Apple and Pear | Apples – Conventional | United States - Pacific Northwest | date unknown]
[passage text omitted for copyright; see the chunk ids above and data/registers/source_register.json]</t>
  </si>
  <si>
    <t>https://treefruit.wsu.edu/crop-protection/disease-management/fire-blight/
https://ipm.ucanr.edu/agriculture/apple/fire-blight/</t>
  </si>
  <si>
    <t>Retrieval rank of cited passage: 1
#1 S015:web:27 (0.785)Fire Blight of Apple and Pear | Pears – Organic
#2 S015:web:36 (0.784)Fire Blight of Apple and Pear | Blossom Protect
#3 S015:web:21 (0.777)Fire Blight of Apple and Pear | Organic Management
#4 S015:web:34 (0.775)Fire Blight of Apple and Pear | Non-Antibiotic Products
[passage text omitted for copyright; see the chunk ids above and data/registers/source_register.json]</t>
  </si>
  <si>
    <t>✗</t>
  </si>
  <si>
    <t>Passed after modification</t>
  </si>
  <si>
    <t>Spray timing and products must depend on locally authorised labels, weather-based infection-risk models and resistance management; do not generalise one region’s thresholds.</t>
  </si>
  <si>
    <t>T029</t>
  </si>
  <si>
    <t>What can I do to reduce apple scab next year?</t>
  </si>
  <si>
    <t>Focus on reducing overwintering spores and preventing spring infections. The fungus overwinters on fallen infected leaves, so shred them with a flail mower or remove them; urea applied to leaves before leaf fall or on fallen leaves reduces ascospores by 50–75% (Canadian crop profile). Prune for air movement and drying, avoid excess nitrogen that produces susceptible suckers, plant scab-resistant cultivars, and do not leave fruit on the ground. Time protective fungicides to spring infection periods with full coverage, using wetness and temperature prediction tools; if primary infections are controlled, secondary infections will not be serious.</t>
  </si>
  <si>
    <t>• remove or shred fallen leaves; urea speeds decomposition
• pruning for drying; avoid excess nitrogen; resistant cultivars
• timed protective sprays during spring infection periods using prediction tools
• controlling primary infections prevents serious secondary infection</t>
  </si>
  <si>
    <t>• recommends only summer fungicides
• says leaf litter is irrelevant</t>
  </si>
  <si>
    <t>[Pac2f744e6d94a879:p19:c2 | Crop Profile for Apple in Canada, 2022 (Sixth Edition, 2023) | Apple Scab (Venturia inaequalis); biology/cultural management, Canada 2023 | Canada | date 2023]
[S174:web:5 | Fact Sheet: Apple Scab | How do I prevent and control apple scab? | United States | date unknown]
[S024:web:2 | Pest Management in Apples in Home Fruit Plantings | Apple Scab | United States - Pennsylvania | date February 25, 2026]
[S001:web:3 | Apple Scab | Management | United States - California | date Text Updated: 10/15; Treatment Table Updated: 10/15]
[S174:web:4 | Fact Sheet: Apple Scab | Where does apple scab come from? | United States | date unknown]
[passage text omitted for copyright; see the chunk ids above and data/registers/source_register.json]</t>
  </si>
  <si>
    <t>https://publications.gc.ca/collections/collection_2023/aac-aafc/A118-10-7-2022-eng.pdf
https://blogs.cornell.edu/applevarietydatabase/fact-sheet-apple-scab/
https://extension.psu.edu/pest-management-in-apples-in-home-fruit-plantings
https://ipm.ucanr.edu/agriculture/apple/apple-scab/</t>
  </si>
  <si>
    <t>Retrieval rank of cited passage: 1
#1 S024:web:8 (0.768)Pest Management in Apples in Home Fruit Plantings | Pear Scab and Leaf Spot
#2 Pbb050e80247f328d:p7:c3 (0.740)IPM Manual for Minnesota Apple Orchards | Historical Minnesota apple biology/monitoring; 2007 conditions
#3 S174:web:1 (0.737)Fact Sheet: Apple Scab | What is apple scab?
[passage text omitted for copyright; see the chunk ids above and data/registers/source_register.json]</t>
  </si>
  <si>
    <t>T032</t>
  </si>
  <si>
    <t>partial</t>
  </si>
  <si>
    <t>Can I use insect netting to keep pests off my apple trees?</t>
  </si>
  <si>
    <t>The corpus has only limited evidence. A Quebec study (abstract excerpt only) on insect netting found that, for a similar opening area, an elongated rectangular mesh appears to let beneficial insects through while still protecting against apple pests. The corpus does not provide practical installation, cost or pest-by-pest effectiveness guidance, so a full recommendation cannot be given from it.</t>
  </si>
  <si>
    <t>• reports the netting study finding (rectangular mesh lets beneficials through while protecting against pests)
• presents the mesh finding as limited research evidence, not established practice
• notes practical installation and pest-by-pest effectiveness are uncertain or need further advice</t>
  </si>
  <si>
    <t>• gives detailed netting specifications or claims complete pest exclusion without support</t>
  </si>
  <si>
    <t>Answerable: findings of the mesh-shape study; qualify: no material on installation or per-species effect</t>
  </si>
  <si>
    <t>[Pce002a247b0ccef6:p1:c1 | Insect netting: effect of mesh size and shape on exclusion of some fruit pests and natural enemies under laboratory and orchard conditions | Reviewed abstract only; full methods/tables not admitted | Canada - Quebec | date 2022-12-13]
[passage text omitted for copyright; see the chunk ids above and data/registers/source_register.json]</t>
  </si>
  <si>
    <t>https://doi.org/10.1007/s10340-022-01582-5</t>
  </si>
  <si>
    <t>Retrieval rank of cited passage: 2
#1 S218:web:5 (0.787)Tree Fruit Insect Pest - Apple Maggot | Cultural Management
#2 S024:web:4 (0.767)Pest Management in Apples in Home Fruit Plantings | Cedar Apple Rust
#3 S085:web:11 (0.765)Apple ermine moth | Management
#4 S236:web:6 (0.765)Tree Fruit Insect Pest - Rosy Apple Aphid | Cultural management
#5 S216:web:4 (0.753)Tree Fruit Insect Pest - Apple Grain Aphid | Monitoring and Management
[passage text omitted for copyright; see the chunk ids above and data/registers/source_register.json]</t>
  </si>
  <si>
    <t>Netting effects are limited to the site, mesh, installation and target pests studied; effectiveness against all apple pests and diseases cannot be inferred. Re-check whether the original corpus contains material for the part to decline; the current excerpts do not prove that the whole corpus lacks such evidence.</t>
  </si>
  <si>
    <t>T041</t>
  </si>
  <si>
    <t>New Zealand</t>
  </si>
  <si>
    <t>I'm in New Zealand. Does mating disruption work for codling moth in apple orchards?</t>
  </si>
  <si>
    <t>New Zealand evidence says it works when combined with some insecticides. In 14 Hawke's Bay orchards, mating disruption cut seasonal trap catch by 70% and reduced insecticide applications (from 5.9 per season to 2.3–3.7), and larval incidence in fruit averaged about 0.01%, lower than insecticide-only orchards; damage rose when growers relied more on short-residual codling moth granulosis virus. It reduced but did not eliminate risk for nil-tolerance markets, so 3–4 sprays were still used. WSU adds that small or non-isolated orchards and high populations reduce reliability.</t>
  </si>
  <si>
    <t>• yes, in NZ (Hawke's Bay) trials with supplementary insecticides
• trap catch down ~70%, fewer sprays, very low fruit infestation
• did not eliminate risk; reliance on granulosis virus increased damage
• small/high-pressure orchards less reliable</t>
  </si>
  <si>
    <t>• claims mating disruption alone eliminates codling moth
• says it has not been tested in New Zealand</t>
  </si>
  <si>
    <t>[P7f06906fa20a6997:p1:c1 | Codling moth (Cydia pomonella) mating disruption outcomes in apple orchards | Abstract – dated research findings | New Zealand - Hawke’s Bay | date 2013]
[P7f06906fa20a6997:p4:c1 | Codling moth (Cydia pomonella) mating disruption outcomes in apple orchards | Discussion/conclusion – dated experimental context | New Zealand - Hawke’s Bay | date 2013]
[P7f06906fa20a6997:p5:c1 | Codling moth (Cydia pomonella) mating disruption outcomes in apple orchards | Discussion/conclusion – dated experimental context | New Zealand - Hawke’s Bay | date 2013]
[S122:web:11 | Mating Disruption | Size and location of orchard | United States - Pacific Northwest | date by Jay F. Brunner and Alan Knight, originally published 1993]
[S122:web:12 | Mating Disruption | Pest levels | United States - Pacific Northwest | date by Jay F. Brunner and Alan Knight, originally published 1993]
[passage text omitted for copyright; see the chunk ids above and data/registers/source_register.json]</t>
  </si>
  <si>
    <t>https://nzpps.org/_journal/index.php/nzpp/article/download/5642/5470/7844
https://treefruit.wsu.edu/crop-protection/opm/mating-disruption/</t>
  </si>
  <si>
    <t>Retrieval rank of cited passage: 2
#1 S122:web:18 (0.878)Mating Disruption | Pest complex
#2 S006:web:7 (0.868)Codling Moth | Monitoring and Treatment Decisions in a Mating Disruption Orchard
#3 S122:web:8 (0.846)Mating Disruption | Improved biological control
[passage text omitted for copyright; see the chunk ids above and data/registers/source_register.json]</t>
  </si>
  <si>
    <t>State that the study of 14 Hawke’s Bay orchards is evidence from a specific place and period, and that mating disruption does not unconditionally replace other management.</t>
  </si>
  <si>
    <t>T042</t>
  </si>
  <si>
    <t>conditions_risk</t>
  </si>
  <si>
    <t>It has been a very hot, dry, dusty summer and my apple leaves are bronzing with lots of tiny mites. Why is this happening and what can I change?</t>
  </si>
  <si>
    <t>Hot, dry weather favours webspinning spider mites: they reproduce rapidly, peaking in July–August, and are most abundant in dusty and water-stressed parts of the orchard. (Apple rust mite also changes with heat: in hot, dry climates it peaks in early summer and autumn with a midsummer decline.) Cultural changes from UC IPM: keep a grass cover crop and use sprinkler irrigation to reduce dust, irrigate adequately to avoid water stress, and don't mow the cover too short or let it dry out, or mites move into trees. Monitor mites and predators and treat only above thresholds with materials least disruptive to biological control.</t>
  </si>
  <si>
    <t>• hot dry dusty conditions and water stress favour spider mites
• reduce dust and water stress (cover crop, irrigation)
• don't mow cover too short/let it dry
• monitor with predators; selective treatment only if needed</t>
  </si>
  <si>
    <t>• attributes bronzing to a fungal disease
• recommends broad-spectrum sprays as first step</t>
  </si>
  <si>
    <t>[S055:web:1 | Webspinning Spider Mites | Description of the Pest | United States - California | date Text Updated: 03/09; Treatment Table Updated: 10/15]
[S055:web:3 | Webspinning Spider Mites | Management | United States - California | date Text Updated: 03/09; Treatment Table Updated: 10/15]
[S055:web:6 | Webspinning Spider Mites | Cultural Control | United States - California | date Text Updated: 03/09; Treatment Table Updated: 10/15]
[S055:web:8 | Webspinning Spider Mites | Monitoring and Treatment Decisions | United States - California | date Text Updated: 03/09; Treatment Table Updated: 10/15]
[S089:web:6 | Apple rust mite | Life history | United States - Pacific Northwest | date by Elizabeth H. Beers , George N. Oldfiield, and Peter H. Westigard, originally published 1993]
[passage text omitted for copyright; see the chunk ids above and data/registers/source_register.json]</t>
  </si>
  <si>
    <t>https://ipm.ucanr.edu/agriculture/apple/webspinning-spider-mites/
https://treefruit.wsu.edu/crop-protection/opm/apple-rust-mite/</t>
  </si>
  <si>
    <t>Retrieval rank of cited passage: 2
#1 S251:web:3 (0.781)Tree Fruit Mite Pest - Apple Rust Mite | Feeding
#2 S160:web:7 (0.764)Zetzellia mali | Life history
#3 S210:web:3 (0.757)Apple Disease - Powdery Mildew | Disease Cycle
#4 S174:web:4 (0.757)Fact Sheet: Apple Scab | Where does apple scab come from?
#5 S089:web:7 (0.755)Apple rust mite | Damage
[passage text omitted for copyright; see the chunk ids above and data/registers/source_register.json]</t>
  </si>
  <si>
    <t>T045</t>
  </si>
  <si>
    <t>I'm in New Zealand and found mealybugs in my apple orchard. How can I monitor them?</t>
  </si>
  <si>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t>
  </si>
  <si>
    <t>• sex-pheromone traps can monitor obscure mealybug (and also catch its parasitoid)
• no formal monitoring scheme or established action thresholds
• egg sacs as indicator
• does not invent NZ thresholds</t>
  </si>
  <si>
    <t>• gives a numeric NZ action threshold
• claims mealybugs cannot be monitored</t>
  </si>
  <si>
    <t>Answerable: pheromone trapping research, no formal protocol; decline: New Zealand control thresholds</t>
  </si>
  <si>
    <t>[Pacbf43db739da6f4:p1:c1 | Trapping obscure mealybug and its natural enemy in apple orchards | Apple mealybug monitoring – poster abstract only | New Zealand - Hawke’s Bay and Nelson | date 2006]
[S088:web:9 | Apple mealybug | Monitoring | United States - Pacific Northwest | date by Elizabeth H. Beers , published online December 2007]
[passage text omitted for copyright; see the chunk ids above and data/registers/source_register.json]</t>
  </si>
  <si>
    <t>https://www.journal.nzpps.org/index.php/nzpp/article/view/4558
https://treefruit.wsu.edu/crop-protection/opm/apple-mealybug/</t>
  </si>
  <si>
    <t>Retrieval rank of cited passage: 1
#1 S088:web:1 (0.790)Apple mealybug | Phenacoccus aceris Signoret (Homoptera: Pseudococcidae)
#2 S088:web:6 (0.765)Apple mealybug | Life History
#3 S088:web:11 (0.758)Apple mealybug | Management
#4 S088:web:2 (0.744)Apple mealybug | Hosts
[passage text omitted for copyright; see the chunk ids above and data/registers/source_register.json]</t>
  </si>
  <si>
    <t>State the target mealybug species, region and trap type of pheromone monitoring; without an economic threshold, do not give a spray threshold. Re-check whether the original corpus contains material for the part to decline; the current excerpts do not prove that the whole corpus lacks such evidence.</t>
  </si>
  <si>
    <t>T049</t>
  </si>
  <si>
    <t>One of my apple trees is declining, and there is a white fan-shaped fungal growth under the bark at the base. What is it?</t>
  </si>
  <si>
    <t>This fits Armillaria root rot (oak root fungus): infected roots have white to yellowish fan-shaped mycelial mats between bark and wood, sometimes with dark rhizomorphs on the root surface. Apple rootstocks have some resistance, but high inoculum, a virulent strain or a weakened tree can overcome it; the fungus survives on dead roots. There is no truly effective control; UC IPM suggests exposing the crown and upper roots by removing soil to 9–12 inches in spring and keeping the area dry through the season, which can stop spread into the crown.</t>
  </si>
  <si>
    <t>• identifies Armillaria root rot
• white fan-shaped mycelial mats under bark; rhizomorphs
• no truly effective control
• expose crown and upper roots and keep dry</t>
  </si>
  <si>
    <t>• diagnoses Phytophthora or crown gall with certainty
• recommends a fungicide spray as a cure</t>
  </si>
  <si>
    <t>[S065:web:1 | Armillaria Root Rot (Oak Root Fungus) | Symptoms and Signs | United States - California | date Text Updated: 03/09]
[S065:web:2 | Armillaria Root Rot (Oak Root Fungus) | Comments on the Disease | United States - California | date Text Updated: 03/09]
[S065:web:3 | Armillaria Root Rot (Oak Root Fungus) | Management | United States - California | date Text Updated: 03/09]
[passage text omitted for copyright; see the chunk ids above and data/registers/source_register.json]</t>
  </si>
  <si>
    <t>https://ipm.ucanr.edu/agriculture/apple/armillaria-root-rot-oak-root-fungus/</t>
  </si>
  <si>
    <t>cited passage not in the top 6
#1 S185:web:2 (0.754)Fact Sheet: White Rot | What does White Rot look like?
#2 S072:web:3 (0.747)Apple Anthracnose | Apple Anthracnose Canker
#3 Pfad1d86df7e72095:p3:c1 (0.747)Apple Anthracnose | Apple anthracnose: symptoms, cycle and cultural management
#4 S208:web:2 (0.743)Apple Disease - Core Rot | Symptoms
#5 Pfad1d86df7e72095:p1:c1 (0.741)Apple Anthracnose | Apple anthracnose introduction
#6 Pfad1d86df7e72095:p2:c1 (0.740)Apple Anthracnose | Apple anthracnose: symptoms, cycle and cultural management
[passage text omitted for copyright; see the chunk ids above and data/registers/source_register.json]</t>
  </si>
  <si>
    <t>Questions</t>
  </si>
  <si>
    <t>Rejected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</si>
</sst>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name val="Calibri"/>
      <charset val="134"/>
    </font>
    <font>
      <sz val="11"/>
      <color theme="1"/>
      <name val="Calibri"/>
      <charset val="134"/>
    </font>
    <font>
      <sz val="11"/>
      <color rgb="FF0563C1"/>
      <name val="Calibri"/>
      <charset val="134"/>
    </font>
    <font>
      <sz val="11"/>
      <color theme="1"/>
      <name val="Calibri"/>
      <charset val="134"/>
    </font>
    <font>
      <b/>
      <sz val="13"/>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DEB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5" borderId="4" applyNumberFormat="0" applyAlignment="0" applyProtection="0">
      <alignment vertical="center"/>
    </xf>
    <xf numFmtId="0" fontId="16" fillId="6" borderId="5" applyNumberFormat="0" applyAlignment="0" applyProtection="0">
      <alignment vertical="center"/>
    </xf>
    <xf numFmtId="0" fontId="17" fillId="6" borderId="4" applyNumberFormat="0" applyAlignment="0" applyProtection="0">
      <alignment vertical="center"/>
    </xf>
    <xf numFmtId="0" fontId="18" fillId="7"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8">
    <xf numFmtId="0" fontId="0" fillId="0" borderId="0" xfId="0"/>
    <xf numFmtId="0" fontId="0" fillId="0" borderId="0" xfId="0" applyAlignment="1">
      <alignment horizontal="center" vertical="center"/>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Alignment="1">
      <alignment horizontal="center" vertical="center"/>
    </xf>
    <xf numFmtId="0" fontId="5"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
  <sheetViews>
    <sheetView workbookViewId="0">
      <selection activeCell="A9" sqref="A1:A9"/>
    </sheetView>
  </sheetViews>
  <sheetFormatPr defaultColWidth="9" defaultRowHeight="14.4"/>
  <cols>
    <col min="1" max="1" width="120" customWidth="1"/>
  </cols>
  <sheetData>
    <row r="1" ht="17.4" spans="1:1">
      <c r="A1" s="7" t="s">
        <v>0</v>
      </c>
    </row>
    <row r="3" spans="1:1">
      <c r="A3" t="s">
        <v>1</v>
      </c>
    </row>
    <row r="4" spans="1:1">
      <c r="A4" t="s">
        <v>2</v>
      </c>
    </row>
    <row r="5" spans="1:1">
      <c r="A5" t="s">
        <v>3</v>
      </c>
    </row>
    <row r="6" spans="1:1">
      <c r="A6" t="s">
        <v>4</v>
      </c>
    </row>
    <row r="7" spans="1:1">
      <c r="A7" t="s">
        <v>5</v>
      </c>
    </row>
    <row r="8" spans="1:1">
      <c r="A8" t="s">
        <v>6</v>
      </c>
    </row>
    <row r="9" spans="1:1">
      <c r="A9" t="s">
        <v>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6"/>
  <sheetViews>
    <sheetView workbookViewId="0">
      <pane xSplit="1" ySplit="1" topLeftCell="B2" activePane="bottomRight" state="frozen"/>
      <selection/>
      <selection pane="topRight"/>
      <selection pane="bottomLeft"/>
      <selection pane="bottomRight" activeCell="D4" sqref="D4"/>
    </sheetView>
  </sheetViews>
  <sheetFormatPr defaultColWidth="9" defaultRowHeight="14.4"/>
  <cols>
    <col min="1" max="1" width="9" customWidth="1"/>
    <col min="2" max="2" width="14" customWidth="1"/>
    <col min="3" max="3" width="16" customWidth="1"/>
    <col min="4" max="4" width="16.1111111111111" customWidth="1"/>
    <col min="5" max="5" width="40" customWidth="1"/>
    <col min="6" max="6" width="55" customWidth="1"/>
    <col min="7" max="7" width="40" customWidth="1"/>
    <col min="8" max="8" width="30" customWidth="1"/>
    <col min="10" max="10" width="80" customWidth="1"/>
    <col min="11" max="11" width="30" customWidth="1"/>
    <col min="12" max="12" width="60" customWidth="1"/>
    <col min="13" max="13" width="7" customWidth="1"/>
    <col min="19" max="19" width="12" customWidth="1"/>
    <col min="20" max="20" width="40" customWidth="1"/>
    <col min="21" max="21" width="15.3333333333333" customWidth="1"/>
  </cols>
  <sheetData>
    <row r="1" ht="57.6" spans="1:21">
      <c r="A1" s="2" t="s">
        <v>8</v>
      </c>
      <c r="B1" s="2" t="s">
        <v>9</v>
      </c>
      <c r="C1" s="2" t="s">
        <v>10</v>
      </c>
      <c r="D1" s="2" t="s">
        <v>11</v>
      </c>
      <c r="E1" s="2" t="s">
        <v>12</v>
      </c>
      <c r="F1" s="2" t="s">
        <v>13</v>
      </c>
      <c r="G1" s="2" t="s">
        <v>14</v>
      </c>
      <c r="H1" s="2" t="s">
        <v>15</v>
      </c>
      <c r="I1" s="2" t="s">
        <v>16</v>
      </c>
      <c r="J1" s="2" t="s">
        <v>17</v>
      </c>
      <c r="K1" s="2" t="s">
        <v>18</v>
      </c>
      <c r="L1" s="2" t="s">
        <v>19</v>
      </c>
      <c r="M1" s="3" t="s">
        <v>20</v>
      </c>
      <c r="N1" s="3" t="s">
        <v>21</v>
      </c>
      <c r="O1" s="3" t="s">
        <v>22</v>
      </c>
      <c r="P1" s="3" t="s">
        <v>23</v>
      </c>
      <c r="Q1" s="3" t="s">
        <v>24</v>
      </c>
      <c r="R1" s="3" t="s">
        <v>25</v>
      </c>
      <c r="S1" s="3" t="s">
        <v>26</v>
      </c>
      <c r="T1" s="3" t="s">
        <v>27</v>
      </c>
      <c r="U1" s="3" t="s">
        <v>28</v>
      </c>
    </row>
    <row r="2" ht="150" customHeight="1" spans="1:21">
      <c r="A2" s="4" t="s">
        <v>29</v>
      </c>
      <c r="B2" s="4" t="s">
        <v>30</v>
      </c>
      <c r="C2" s="4" t="s">
        <v>31</v>
      </c>
      <c r="D2" s="4" t="s">
        <v>32</v>
      </c>
      <c r="E2" s="4" t="s">
        <v>33</v>
      </c>
      <c r="F2" s="4" t="s">
        <v>34</v>
      </c>
      <c r="G2" s="4" t="s">
        <v>35</v>
      </c>
      <c r="H2" s="4" t="s">
        <v>36</v>
      </c>
      <c r="I2" s="4" t="s">
        <v>37</v>
      </c>
      <c r="J2" s="4" t="s">
        <v>38</v>
      </c>
      <c r="K2" s="5" t="s">
        <v>39</v>
      </c>
      <c r="L2" s="4" t="s">
        <v>40</v>
      </c>
      <c r="M2" s="1" t="s">
        <v>41</v>
      </c>
      <c r="N2" s="1" t="s">
        <v>42</v>
      </c>
      <c r="O2" s="1" t="s">
        <v>41</v>
      </c>
      <c r="P2" s="1" t="s">
        <v>41</v>
      </c>
      <c r="Q2" s="1" t="s">
        <v>41</v>
      </c>
      <c r="R2" s="1" t="s">
        <v>41</v>
      </c>
      <c r="S2" s="1" t="s">
        <v>43</v>
      </c>
      <c r="T2" s="1" t="s">
        <v>44</v>
      </c>
      <c r="U2" s="6" t="s">
        <v>45</v>
      </c>
    </row>
    <row r="3" ht="150" customHeight="1" spans="1:21">
      <c r="A3" s="4" t="s">
        <v>46</v>
      </c>
      <c r="B3" s="4" t="s">
        <v>30</v>
      </c>
      <c r="C3" s="4" t="s">
        <v>31</v>
      </c>
      <c r="D3" s="4" t="s">
        <v>32</v>
      </c>
      <c r="E3" s="4" t="s">
        <v>47</v>
      </c>
      <c r="F3" s="4" t="s">
        <v>48</v>
      </c>
      <c r="G3" s="4" t="s">
        <v>49</v>
      </c>
      <c r="H3" s="4" t="s">
        <v>50</v>
      </c>
      <c r="I3" s="4" t="s">
        <v>37</v>
      </c>
      <c r="J3" s="4" t="s">
        <v>51</v>
      </c>
      <c r="K3" s="5" t="s">
        <v>52</v>
      </c>
      <c r="L3" s="4" t="s">
        <v>53</v>
      </c>
      <c r="M3" s="1" t="s">
        <v>41</v>
      </c>
      <c r="N3" s="1" t="s">
        <v>42</v>
      </c>
      <c r="O3" s="1" t="s">
        <v>41</v>
      </c>
      <c r="P3" s="1" t="s">
        <v>41</v>
      </c>
      <c r="Q3" s="1" t="s">
        <v>41</v>
      </c>
      <c r="R3" s="1" t="s">
        <v>41</v>
      </c>
      <c r="S3" s="1" t="s">
        <v>43</v>
      </c>
      <c r="T3" s="1" t="s">
        <v>44</v>
      </c>
      <c r="U3" s="6" t="s">
        <v>45</v>
      </c>
    </row>
    <row r="4" ht="150" customHeight="1" spans="1:21">
      <c r="A4" s="4" t="s">
        <v>54</v>
      </c>
      <c r="B4" s="4" t="s">
        <v>30</v>
      </c>
      <c r="C4" s="4" t="s">
        <v>31</v>
      </c>
      <c r="D4" s="4" t="s">
        <v>32</v>
      </c>
      <c r="E4" s="4" t="s">
        <v>55</v>
      </c>
      <c r="F4" s="4" t="s">
        <v>56</v>
      </c>
      <c r="G4" s="4" t="s">
        <v>57</v>
      </c>
      <c r="H4" s="4" t="s">
        <v>58</v>
      </c>
      <c r="I4" s="4" t="s">
        <v>37</v>
      </c>
      <c r="J4" s="4" t="s">
        <v>59</v>
      </c>
      <c r="K4" s="5" t="s">
        <v>60</v>
      </c>
      <c r="L4" s="4" t="s">
        <v>61</v>
      </c>
      <c r="M4" s="1" t="s">
        <v>41</v>
      </c>
      <c r="N4" s="1" t="s">
        <v>42</v>
      </c>
      <c r="O4" s="1" t="s">
        <v>41</v>
      </c>
      <c r="P4" s="1" t="s">
        <v>41</v>
      </c>
      <c r="Q4" s="1" t="s">
        <v>41</v>
      </c>
      <c r="R4" s="1" t="s">
        <v>41</v>
      </c>
      <c r="S4" s="1" t="s">
        <v>43</v>
      </c>
      <c r="T4" s="1" t="s">
        <v>44</v>
      </c>
      <c r="U4" s="6" t="s">
        <v>45</v>
      </c>
    </row>
    <row r="5" ht="150" customHeight="1" spans="1:21">
      <c r="A5" s="4" t="s">
        <v>62</v>
      </c>
      <c r="B5" s="4" t="s">
        <v>30</v>
      </c>
      <c r="C5" s="4" t="s">
        <v>31</v>
      </c>
      <c r="D5" s="4" t="s">
        <v>32</v>
      </c>
      <c r="E5" s="4" t="s">
        <v>63</v>
      </c>
      <c r="F5" s="4" t="s">
        <v>64</v>
      </c>
      <c r="G5" s="4" t="s">
        <v>65</v>
      </c>
      <c r="H5" s="4" t="s">
        <v>66</v>
      </c>
      <c r="I5" s="4" t="s">
        <v>37</v>
      </c>
      <c r="J5" s="4" t="s">
        <v>67</v>
      </c>
      <c r="K5" s="5" t="s">
        <v>68</v>
      </c>
      <c r="L5" s="4" t="s">
        <v>69</v>
      </c>
      <c r="M5" s="1" t="s">
        <v>41</v>
      </c>
      <c r="N5" s="1" t="s">
        <v>42</v>
      </c>
      <c r="O5" s="1" t="s">
        <v>41</v>
      </c>
      <c r="P5" s="1" t="s">
        <v>41</v>
      </c>
      <c r="Q5" s="1" t="s">
        <v>41</v>
      </c>
      <c r="R5" s="1" t="s">
        <v>41</v>
      </c>
      <c r="S5" s="1" t="s">
        <v>43</v>
      </c>
      <c r="T5" s="1" t="s">
        <v>44</v>
      </c>
      <c r="U5" s="6" t="s">
        <v>45</v>
      </c>
    </row>
    <row r="6" ht="150" customHeight="1" spans="1:21">
      <c r="A6" s="4" t="s">
        <v>70</v>
      </c>
      <c r="B6" s="4" t="s">
        <v>30</v>
      </c>
      <c r="C6" s="4" t="s">
        <v>31</v>
      </c>
      <c r="D6" s="4" t="s">
        <v>32</v>
      </c>
      <c r="E6" s="4" t="s">
        <v>71</v>
      </c>
      <c r="F6" s="4" t="s">
        <v>72</v>
      </c>
      <c r="G6" s="4" t="s">
        <v>73</v>
      </c>
      <c r="H6" s="4" t="s">
        <v>74</v>
      </c>
      <c r="I6" s="4" t="s">
        <v>37</v>
      </c>
      <c r="J6" s="4" t="s">
        <v>75</v>
      </c>
      <c r="K6" s="5" t="s">
        <v>76</v>
      </c>
      <c r="L6" s="4" t="s">
        <v>77</v>
      </c>
      <c r="M6" s="1" t="s">
        <v>41</v>
      </c>
      <c r="N6" s="1" t="s">
        <v>42</v>
      </c>
      <c r="O6" s="1" t="s">
        <v>41</v>
      </c>
      <c r="P6" s="1" t="s">
        <v>41</v>
      </c>
      <c r="Q6" s="1" t="s">
        <v>41</v>
      </c>
      <c r="R6" s="1" t="s">
        <v>41</v>
      </c>
      <c r="S6" s="1" t="s">
        <v>43</v>
      </c>
      <c r="T6" s="1" t="s">
        <v>44</v>
      </c>
      <c r="U6" s="6" t="s">
        <v>45</v>
      </c>
    </row>
    <row r="7" ht="150" customHeight="1" spans="1:21">
      <c r="A7" s="4" t="s">
        <v>78</v>
      </c>
      <c r="B7" s="4" t="s">
        <v>30</v>
      </c>
      <c r="C7" s="4" t="s">
        <v>31</v>
      </c>
      <c r="D7" s="4" t="s">
        <v>32</v>
      </c>
      <c r="E7" s="4" t="s">
        <v>79</v>
      </c>
      <c r="F7" s="4" t="s">
        <v>80</v>
      </c>
      <c r="G7" s="4" t="s">
        <v>81</v>
      </c>
      <c r="H7" s="4" t="s">
        <v>82</v>
      </c>
      <c r="I7" s="4" t="s">
        <v>37</v>
      </c>
      <c r="J7" s="4" t="s">
        <v>83</v>
      </c>
      <c r="K7" s="5" t="s">
        <v>84</v>
      </c>
      <c r="L7" s="4" t="s">
        <v>85</v>
      </c>
      <c r="M7" s="1" t="s">
        <v>41</v>
      </c>
      <c r="N7" s="1" t="s">
        <v>42</v>
      </c>
      <c r="O7" s="1" t="s">
        <v>41</v>
      </c>
      <c r="P7" s="1" t="s">
        <v>41</v>
      </c>
      <c r="Q7" s="1" t="s">
        <v>41</v>
      </c>
      <c r="R7" s="1" t="s">
        <v>41</v>
      </c>
      <c r="S7" s="1" t="s">
        <v>43</v>
      </c>
      <c r="T7" s="1" t="s">
        <v>44</v>
      </c>
      <c r="U7" s="6" t="s">
        <v>45</v>
      </c>
    </row>
    <row r="8" ht="150" customHeight="1" spans="1:21">
      <c r="A8" s="4" t="s">
        <v>86</v>
      </c>
      <c r="B8" s="4" t="s">
        <v>87</v>
      </c>
      <c r="C8" s="4" t="s">
        <v>31</v>
      </c>
      <c r="D8" s="4" t="s">
        <v>32</v>
      </c>
      <c r="E8" s="4" t="s">
        <v>88</v>
      </c>
      <c r="F8" s="4" t="s">
        <v>89</v>
      </c>
      <c r="G8" s="4" t="s">
        <v>90</v>
      </c>
      <c r="H8" s="4" t="s">
        <v>91</v>
      </c>
      <c r="I8" s="4" t="s">
        <v>37</v>
      </c>
      <c r="J8" s="4" t="s">
        <v>92</v>
      </c>
      <c r="K8" s="5" t="s">
        <v>93</v>
      </c>
      <c r="L8" s="4" t="s">
        <v>94</v>
      </c>
      <c r="M8" s="1" t="s">
        <v>41</v>
      </c>
      <c r="N8" s="1" t="s">
        <v>42</v>
      </c>
      <c r="O8" s="1" t="s">
        <v>41</v>
      </c>
      <c r="P8" s="1" t="s">
        <v>41</v>
      </c>
      <c r="Q8" s="1" t="s">
        <v>41</v>
      </c>
      <c r="R8" s="1" t="s">
        <v>41</v>
      </c>
      <c r="S8" s="1" t="s">
        <v>43</v>
      </c>
      <c r="T8" s="1" t="s">
        <v>44</v>
      </c>
      <c r="U8" s="6" t="s">
        <v>45</v>
      </c>
    </row>
    <row r="9" ht="150" customHeight="1" spans="1:21">
      <c r="A9" s="4" t="s">
        <v>95</v>
      </c>
      <c r="B9" s="4" t="s">
        <v>30</v>
      </c>
      <c r="C9" s="4" t="s">
        <v>31</v>
      </c>
      <c r="D9" s="4" t="s">
        <v>32</v>
      </c>
      <c r="E9" s="4" t="s">
        <v>96</v>
      </c>
      <c r="F9" s="4" t="s">
        <v>97</v>
      </c>
      <c r="G9" s="4" t="s">
        <v>98</v>
      </c>
      <c r="H9" s="4" t="s">
        <v>99</v>
      </c>
      <c r="I9" s="4" t="s">
        <v>37</v>
      </c>
      <c r="J9" s="4" t="s">
        <v>100</v>
      </c>
      <c r="K9" s="5" t="s">
        <v>101</v>
      </c>
      <c r="L9" s="4" t="s">
        <v>102</v>
      </c>
      <c r="M9" s="1" t="s">
        <v>41</v>
      </c>
      <c r="N9" s="1" t="s">
        <v>42</v>
      </c>
      <c r="O9" s="1" t="s">
        <v>41</v>
      </c>
      <c r="P9" s="1" t="s">
        <v>41</v>
      </c>
      <c r="Q9" s="1" t="s">
        <v>41</v>
      </c>
      <c r="R9" s="1" t="s">
        <v>41</v>
      </c>
      <c r="S9" s="1" t="s">
        <v>43</v>
      </c>
      <c r="T9" s="1" t="s">
        <v>44</v>
      </c>
      <c r="U9" s="6" t="s">
        <v>45</v>
      </c>
    </row>
    <row r="10" ht="150" customHeight="1" spans="1:21">
      <c r="A10" s="4" t="s">
        <v>103</v>
      </c>
      <c r="B10" s="4" t="s">
        <v>104</v>
      </c>
      <c r="C10" s="4" t="s">
        <v>31</v>
      </c>
      <c r="D10" s="4" t="s">
        <v>32</v>
      </c>
      <c r="E10" s="4" t="s">
        <v>105</v>
      </c>
      <c r="F10" s="4" t="s">
        <v>106</v>
      </c>
      <c r="G10" s="4" t="s">
        <v>107</v>
      </c>
      <c r="H10" s="4" t="s">
        <v>108</v>
      </c>
      <c r="I10" s="4" t="s">
        <v>37</v>
      </c>
      <c r="J10" s="4" t="s">
        <v>109</v>
      </c>
      <c r="K10" s="5" t="s">
        <v>110</v>
      </c>
      <c r="L10" s="4" t="s">
        <v>111</v>
      </c>
      <c r="M10" s="1" t="s">
        <v>41</v>
      </c>
      <c r="N10" s="1" t="s">
        <v>42</v>
      </c>
      <c r="O10" s="1" t="s">
        <v>112</v>
      </c>
      <c r="P10" s="1" t="s">
        <v>41</v>
      </c>
      <c r="Q10" s="1" t="s">
        <v>41</v>
      </c>
      <c r="R10" s="1" t="s">
        <v>41</v>
      </c>
      <c r="S10" s="1" t="s">
        <v>113</v>
      </c>
      <c r="T10" s="1" t="s">
        <v>114</v>
      </c>
      <c r="U10" s="6" t="s">
        <v>45</v>
      </c>
    </row>
    <row r="11" ht="150" customHeight="1" spans="1:21">
      <c r="A11" s="4" t="s">
        <v>115</v>
      </c>
      <c r="B11" s="4" t="s">
        <v>87</v>
      </c>
      <c r="C11" s="4" t="s">
        <v>31</v>
      </c>
      <c r="D11" s="4" t="s">
        <v>32</v>
      </c>
      <c r="E11" s="4" t="s">
        <v>116</v>
      </c>
      <c r="F11" s="4" t="s">
        <v>117</v>
      </c>
      <c r="G11" s="4" t="s">
        <v>118</v>
      </c>
      <c r="H11" s="4" t="s">
        <v>119</v>
      </c>
      <c r="I11" s="4" t="s">
        <v>37</v>
      </c>
      <c r="J11" s="4" t="s">
        <v>120</v>
      </c>
      <c r="K11" s="5" t="s">
        <v>121</v>
      </c>
      <c r="L11" s="4" t="s">
        <v>122</v>
      </c>
      <c r="M11" s="1" t="s">
        <v>41</v>
      </c>
      <c r="N11" s="1" t="s">
        <v>42</v>
      </c>
      <c r="O11" s="1" t="s">
        <v>41</v>
      </c>
      <c r="P11" s="1" t="s">
        <v>41</v>
      </c>
      <c r="Q11" s="1" t="s">
        <v>41</v>
      </c>
      <c r="R11" s="1" t="s">
        <v>41</v>
      </c>
      <c r="S11" s="1" t="s">
        <v>43</v>
      </c>
      <c r="T11" s="1" t="s">
        <v>44</v>
      </c>
      <c r="U11" s="6" t="s">
        <v>45</v>
      </c>
    </row>
    <row r="12" ht="150" customHeight="1" spans="1:21">
      <c r="A12" s="4" t="s">
        <v>123</v>
      </c>
      <c r="B12" s="4" t="s">
        <v>87</v>
      </c>
      <c r="C12" s="4" t="s">
        <v>31</v>
      </c>
      <c r="D12" s="4" t="s">
        <v>124</v>
      </c>
      <c r="E12" s="4" t="s">
        <v>125</v>
      </c>
      <c r="F12" s="4" t="s">
        <v>126</v>
      </c>
      <c r="G12" s="4" t="s">
        <v>127</v>
      </c>
      <c r="H12" s="4" t="s">
        <v>128</v>
      </c>
      <c r="I12" s="4" t="s">
        <v>129</v>
      </c>
      <c r="J12" s="4" t="s">
        <v>130</v>
      </c>
      <c r="K12" s="5" t="s">
        <v>131</v>
      </c>
      <c r="L12" s="4" t="s">
        <v>132</v>
      </c>
      <c r="M12" s="1" t="s">
        <v>41</v>
      </c>
      <c r="N12" s="1" t="s">
        <v>42</v>
      </c>
      <c r="O12" s="1" t="s">
        <v>112</v>
      </c>
      <c r="P12" s="1" t="s">
        <v>41</v>
      </c>
      <c r="Q12" s="1" t="s">
        <v>41</v>
      </c>
      <c r="R12" s="1" t="s">
        <v>41</v>
      </c>
      <c r="S12" s="1" t="s">
        <v>113</v>
      </c>
      <c r="T12" s="1" t="s">
        <v>133</v>
      </c>
      <c r="U12" s="6" t="s">
        <v>45</v>
      </c>
    </row>
    <row r="13" ht="150" customHeight="1" spans="1:21">
      <c r="A13" s="4" t="s">
        <v>134</v>
      </c>
      <c r="B13" s="4" t="s">
        <v>87</v>
      </c>
      <c r="C13" s="4" t="s">
        <v>135</v>
      </c>
      <c r="D13" s="4" t="s">
        <v>32</v>
      </c>
      <c r="E13" s="4" t="s">
        <v>136</v>
      </c>
      <c r="F13" s="4" t="s">
        <v>137</v>
      </c>
      <c r="G13" s="4" t="s">
        <v>138</v>
      </c>
      <c r="H13" s="4" t="s">
        <v>139</v>
      </c>
      <c r="I13" s="4" t="s">
        <v>37</v>
      </c>
      <c r="J13" s="4" t="s">
        <v>140</v>
      </c>
      <c r="K13" s="5" t="s">
        <v>141</v>
      </c>
      <c r="L13" s="4" t="s">
        <v>142</v>
      </c>
      <c r="M13" s="1" t="s">
        <v>41</v>
      </c>
      <c r="N13" s="1" t="s">
        <v>42</v>
      </c>
      <c r="O13" s="1" t="s">
        <v>112</v>
      </c>
      <c r="P13" s="1" t="s">
        <v>41</v>
      </c>
      <c r="Q13" s="1" t="s">
        <v>41</v>
      </c>
      <c r="R13" s="1" t="s">
        <v>41</v>
      </c>
      <c r="S13" s="1" t="s">
        <v>113</v>
      </c>
      <c r="T13" s="1" t="s">
        <v>143</v>
      </c>
      <c r="U13" s="6" t="s">
        <v>45</v>
      </c>
    </row>
    <row r="14" ht="150" customHeight="1" spans="1:21">
      <c r="A14" s="4" t="s">
        <v>144</v>
      </c>
      <c r="B14" s="4" t="s">
        <v>145</v>
      </c>
      <c r="C14" s="4" t="s">
        <v>31</v>
      </c>
      <c r="D14" s="4" t="s">
        <v>32</v>
      </c>
      <c r="E14" s="4" t="s">
        <v>146</v>
      </c>
      <c r="F14" s="4" t="s">
        <v>147</v>
      </c>
      <c r="G14" s="4" t="s">
        <v>148</v>
      </c>
      <c r="H14" s="4" t="s">
        <v>149</v>
      </c>
      <c r="I14" s="4" t="s">
        <v>37</v>
      </c>
      <c r="J14" s="4" t="s">
        <v>150</v>
      </c>
      <c r="K14" s="5" t="s">
        <v>151</v>
      </c>
      <c r="L14" s="4" t="s">
        <v>152</v>
      </c>
      <c r="M14" s="1" t="s">
        <v>41</v>
      </c>
      <c r="N14" s="1" t="s">
        <v>42</v>
      </c>
      <c r="O14" s="1" t="s">
        <v>41</v>
      </c>
      <c r="P14" s="1" t="s">
        <v>41</v>
      </c>
      <c r="Q14" s="1" t="s">
        <v>41</v>
      </c>
      <c r="R14" s="1" t="s">
        <v>41</v>
      </c>
      <c r="S14" s="1" t="s">
        <v>43</v>
      </c>
      <c r="T14" s="1" t="s">
        <v>44</v>
      </c>
      <c r="U14" s="6" t="s">
        <v>45</v>
      </c>
    </row>
    <row r="15" ht="150" customHeight="1" spans="1:21">
      <c r="A15" s="4" t="s">
        <v>153</v>
      </c>
      <c r="B15" s="4" t="s">
        <v>104</v>
      </c>
      <c r="C15" s="4" t="s">
        <v>135</v>
      </c>
      <c r="D15" s="4" t="s">
        <v>124</v>
      </c>
      <c r="E15" s="4" t="s">
        <v>154</v>
      </c>
      <c r="F15" s="4" t="s">
        <v>155</v>
      </c>
      <c r="G15" s="4" t="s">
        <v>156</v>
      </c>
      <c r="H15" s="4" t="s">
        <v>157</v>
      </c>
      <c r="I15" s="4" t="s">
        <v>158</v>
      </c>
      <c r="J15" s="4" t="s">
        <v>159</v>
      </c>
      <c r="K15" s="5" t="s">
        <v>160</v>
      </c>
      <c r="L15" s="4" t="s">
        <v>161</v>
      </c>
      <c r="M15" s="1" t="s">
        <v>41</v>
      </c>
      <c r="N15" s="1" t="s">
        <v>42</v>
      </c>
      <c r="O15" s="1" t="s">
        <v>112</v>
      </c>
      <c r="P15" s="1" t="s">
        <v>41</v>
      </c>
      <c r="Q15" s="1" t="s">
        <v>41</v>
      </c>
      <c r="R15" s="1" t="s">
        <v>41</v>
      </c>
      <c r="S15" s="1" t="s">
        <v>113</v>
      </c>
      <c r="T15" s="1" t="s">
        <v>162</v>
      </c>
      <c r="U15" s="6" t="s">
        <v>45</v>
      </c>
    </row>
    <row r="16" ht="150" customHeight="1" spans="1:21">
      <c r="A16" s="4" t="s">
        <v>163</v>
      </c>
      <c r="B16" s="4" t="s">
        <v>30</v>
      </c>
      <c r="C16" s="4" t="s">
        <v>31</v>
      </c>
      <c r="D16" s="4" t="s">
        <v>32</v>
      </c>
      <c r="E16" s="4" t="s">
        <v>164</v>
      </c>
      <c r="F16" s="4" t="s">
        <v>165</v>
      </c>
      <c r="G16" s="4" t="s">
        <v>166</v>
      </c>
      <c r="H16" s="4" t="s">
        <v>167</v>
      </c>
      <c r="I16" s="4" t="s">
        <v>37</v>
      </c>
      <c r="J16" s="4" t="s">
        <v>168</v>
      </c>
      <c r="K16" s="5" t="s">
        <v>169</v>
      </c>
      <c r="L16" s="4" t="s">
        <v>170</v>
      </c>
      <c r="M16" s="1" t="s">
        <v>41</v>
      </c>
      <c r="N16" s="1" t="s">
        <v>42</v>
      </c>
      <c r="O16" s="1" t="s">
        <v>41</v>
      </c>
      <c r="P16" s="1" t="s">
        <v>41</v>
      </c>
      <c r="Q16" s="1" t="s">
        <v>41</v>
      </c>
      <c r="R16" s="1" t="s">
        <v>41</v>
      </c>
      <c r="S16" s="1" t="s">
        <v>43</v>
      </c>
      <c r="T16" s="1" t="s">
        <v>44</v>
      </c>
      <c r="U16" s="6" t="s">
        <v>45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tabSelected="1" workbookViewId="0">
      <selection activeCell="A1" sqref="A1:B5"/>
    </sheetView>
  </sheetViews>
  <sheetFormatPr defaultColWidth="9" defaultRowHeight="14.4" outlineLevelRow="4" outlineLevelCol="1"/>
  <cols>
    <col min="1" max="1" width="28" customWidth="1"/>
    <col min="2" max="2" width="16.7777777777778" customWidth="1"/>
  </cols>
  <sheetData>
    <row r="1" spans="1:2">
      <c r="A1" s="1" t="s">
        <v>28</v>
      </c>
      <c r="B1" s="1" t="s">
        <v>45</v>
      </c>
    </row>
    <row r="2" spans="1:2">
      <c r="A2" s="1" t="s">
        <v>171</v>
      </c>
      <c r="B2" s="1">
        <v>15</v>
      </c>
    </row>
    <row r="3" spans="1:2">
      <c r="A3" s="1" t="s">
        <v>43</v>
      </c>
      <c r="B3" s="1">
        <f>COUNTIF(Review!S2:S16,"Passed")</f>
        <v>11</v>
      </c>
    </row>
    <row r="4" spans="1:2">
      <c r="A4" s="1" t="s">
        <v>113</v>
      </c>
      <c r="B4" s="1">
        <f>COUNTIF(Review!S2:S16,"Passed after modification")</f>
        <v>4</v>
      </c>
    </row>
    <row r="5" spans="1:2">
      <c r="A5" s="1" t="s">
        <v>172</v>
      </c>
      <c r="B5" s="1">
        <f>COUNTIF(Review!S2:S16,"Rejected")</f>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Instructions</vt:lpstr>
      <vt:lpstr>Review</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飞龙宝宝</cp:lastModifiedBy>
  <dcterms:created xsi:type="dcterms:W3CDTF">2026-10-23T03:38:00Z</dcterms:created>
  <dcterms:modified xsi:type="dcterms:W3CDTF">2026-10-30T02:49:39Z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359AC40D7D3B4B93AFFCA8F0AE39FE3A_12</vt:lpwstr>
  </property>
  <property fmtid="{D5CDD505-2E9C-101B-9397-08002B2CF9AE}" pid="3" name="KSOProductBuildVer">
    <vt:lpwstr>2052-12.1.0.29161</vt:lpwstr>
  </property>
  <property fmtid="{D5CDD505-2E9C-101B-9397-08002B2CF9AE}" pid="4" name="CalculationRule">
    <vt:i4>0</vt:i4>
  </property>
</Properties>
</file>