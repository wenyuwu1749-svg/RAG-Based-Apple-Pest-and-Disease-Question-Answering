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Review" sheetId="1" state="visible" r:id="rId1"/>
    <sheet xmlns:r="http://schemas.openxmlformats.org/officeDocument/2006/relationships" name="Summary" sheetId="2" state="visible" r:id="rId2"/>
  </sheets>
  <definedNames/>
  <calcPr calcId="191029" fullCalcOnLoad="1"/>
</workbook>
</file>

<file path=xl/styles.xml><?xml version="1.0" encoding="utf-8"?>
<styleSheet xmlns="http://schemas.openxmlformats.org/spreadsheetml/2006/main">
  <numFmts count="0"/>
  <fonts count="29">
    <font>
      <name val="宋体"/>
      <charset val="134"/>
      <color theme="1"/>
      <sz val="11"/>
      <scheme val="minor"/>
    </font>
    <font>
      <name val="Times New Roman"/>
      <charset val="134"/>
      <color theme="1"/>
      <sz val="11"/>
    </font>
    <font>
      <name val="Times New Roman"/>
      <charset val="134"/>
      <b val="1"/>
      <sz val="11"/>
    </font>
    <font>
      <name val="Times New Roman"/>
      <charset val="134"/>
      <color theme="1"/>
      <sz val="11"/>
    </font>
    <font>
      <name val="Times New Roman"/>
      <charset val="134"/>
      <color rgb="FF0563C1"/>
      <sz val="11"/>
      <u val="single"/>
    </font>
    <font>
      <name val="Times New Roman"/>
      <charset val="134"/>
      <color rgb="FF0563C1"/>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1"/>
    </font>
    <font>
      <name val="宋体"/>
      <charset val="134"/>
      <color theme="1"/>
      <sz val="11"/>
    </font>
    <font>
      <name val="宋体"/>
      <charset val="134"/>
      <b val="1"/>
      <sz val="1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2" borderId="4"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5" applyAlignment="1">
      <alignment vertical="center"/>
    </xf>
    <xf numFmtId="0" fontId="13" fillId="0" borderId="5" applyAlignment="1">
      <alignment vertical="center"/>
    </xf>
    <xf numFmtId="0" fontId="14" fillId="0" borderId="6" applyAlignment="1">
      <alignment vertical="center"/>
    </xf>
    <xf numFmtId="0" fontId="14" fillId="0" borderId="0" applyAlignment="1">
      <alignment vertical="center"/>
    </xf>
    <xf numFmtId="0" fontId="15" fillId="3" borderId="7" applyAlignment="1">
      <alignment vertical="center"/>
    </xf>
    <xf numFmtId="0" fontId="16" fillId="4" borderId="8" applyAlignment="1">
      <alignment vertical="center"/>
    </xf>
    <xf numFmtId="0" fontId="17" fillId="4" borderId="7" applyAlignment="1">
      <alignment vertical="center"/>
    </xf>
    <xf numFmtId="0" fontId="18" fillId="5" borderId="9" applyAlignment="1">
      <alignment vertical="center"/>
    </xf>
    <xf numFmtId="0" fontId="19" fillId="0" borderId="10" applyAlignment="1">
      <alignment vertical="center"/>
    </xf>
    <xf numFmtId="0" fontId="20" fillId="0" borderId="11" applyAlignment="1">
      <alignment vertical="center"/>
    </xf>
    <xf numFmtId="0" fontId="21" fillId="6" borderId="0"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5" fillId="11" borderId="0" applyAlignment="1">
      <alignment vertical="center"/>
    </xf>
    <xf numFmtId="0" fontId="24" fillId="12" borderId="0" applyAlignment="1">
      <alignment vertical="center"/>
    </xf>
    <xf numFmtId="0" fontId="24" fillId="13" borderId="0" applyAlignment="1">
      <alignment vertical="center"/>
    </xf>
    <xf numFmtId="0" fontId="25" fillId="14" borderId="0" applyAlignment="1">
      <alignment vertical="center"/>
    </xf>
    <xf numFmtId="0" fontId="25" fillId="15" borderId="0" applyAlignment="1">
      <alignment vertical="center"/>
    </xf>
    <xf numFmtId="0" fontId="24" fillId="16" borderId="0" applyAlignment="1">
      <alignment vertical="center"/>
    </xf>
    <xf numFmtId="0" fontId="24" fillId="17" borderId="0" applyAlignment="1">
      <alignment vertical="center"/>
    </xf>
    <xf numFmtId="0" fontId="25" fillId="18" borderId="0" applyAlignment="1">
      <alignment vertical="center"/>
    </xf>
    <xf numFmtId="0" fontId="25" fillId="19" borderId="0" applyAlignment="1">
      <alignment vertical="center"/>
    </xf>
    <xf numFmtId="0" fontId="24" fillId="20" borderId="0" applyAlignment="1">
      <alignment vertical="center"/>
    </xf>
    <xf numFmtId="0" fontId="24" fillId="21" borderId="0" applyAlignment="1">
      <alignment vertical="center"/>
    </xf>
    <xf numFmtId="0" fontId="25" fillId="22" borderId="0" applyAlignment="1">
      <alignment vertical="center"/>
    </xf>
    <xf numFmtId="0" fontId="25" fillId="23" borderId="0" applyAlignment="1">
      <alignment vertical="center"/>
    </xf>
    <xf numFmtId="0" fontId="24" fillId="24" borderId="0" applyAlignment="1">
      <alignment vertical="center"/>
    </xf>
    <xf numFmtId="0" fontId="24" fillId="25" borderId="0" applyAlignment="1">
      <alignment vertical="center"/>
    </xf>
    <xf numFmtId="0" fontId="25" fillId="26" borderId="0" applyAlignment="1">
      <alignment vertical="center"/>
    </xf>
    <xf numFmtId="0" fontId="25" fillId="27" borderId="0" applyAlignment="1">
      <alignment vertical="center"/>
    </xf>
    <xf numFmtId="0" fontId="24" fillId="28" borderId="0" applyAlignment="1">
      <alignment vertical="center"/>
    </xf>
    <xf numFmtId="0" fontId="24" fillId="29" borderId="0" applyAlignment="1">
      <alignment vertical="center"/>
    </xf>
    <xf numFmtId="0" fontId="25" fillId="30" borderId="0" applyAlignment="1">
      <alignment vertical="center"/>
    </xf>
    <xf numFmtId="0" fontId="25" fillId="31" borderId="0" applyAlignment="1">
      <alignment vertical="center"/>
    </xf>
    <xf numFmtId="0" fontId="24" fillId="32" borderId="0" applyAlignment="1">
      <alignment vertical="center"/>
    </xf>
  </cellStyleXfs>
  <cellXfs count="20">
    <xf numFmtId="0" fontId="0" fillId="0" borderId="0" pivotButton="0" quotePrefix="0" xfId="0"/>
    <xf numFmtId="0" fontId="1" fillId="0" borderId="0" pivotButton="0" quotePrefix="0" xfId="0"/>
    <xf numFmtId="0" fontId="1" fillId="0" borderId="0" pivotButton="0" quotePrefix="0" xfId="0"/>
    <xf numFmtId="0" fontId="1" fillId="0" borderId="0" pivotButton="0" quotePrefix="0" xfId="0"/>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1" applyAlignment="1" pivotButton="0" quotePrefix="0" xfId="0">
      <alignment vertical="top" wrapText="1"/>
    </xf>
    <xf numFmtId="0" fontId="3" fillId="0" borderId="2" applyAlignment="1" pivotButton="0" quotePrefix="0" xfId="0">
      <alignment vertical="top" wrapText="1"/>
    </xf>
    <xf numFmtId="0" fontId="1" fillId="0" borderId="0" applyAlignment="1" pivotButton="0" quotePrefix="0" xfId="0">
      <alignment horizontal="center"/>
    </xf>
    <xf numFmtId="0" fontId="1" fillId="0" borderId="0" pivotButton="0" quotePrefix="0" xfId="0"/>
    <xf numFmtId="0" fontId="1" fillId="0" borderId="0" pivotButton="0" quotePrefix="0" xfId="0"/>
    <xf numFmtId="0" fontId="2" fillId="0" borderId="3"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0" borderId="1" applyAlignment="1" pivotButton="0" quotePrefix="0" xfId="0">
      <alignment vertical="top" wrapText="1"/>
    </xf>
    <xf numFmtId="0" fontId="1" fillId="0" borderId="1" pivotButton="0" quotePrefix="0" xfId="0"/>
    <xf numFmtId="0" fontId="1" fillId="0" borderId="3" pivotButton="0" quotePrefix="0" xfId="0"/>
    <xf numFmtId="0" fontId="1" fillId="0" borderId="1" pivotButton="0" quotePrefix="0" xfId="0"/>
    <xf numFmtId="0" fontId="5" fillId="0" borderId="1" applyAlignment="1" pivotButton="0" quotePrefix="0" xfId="0">
      <alignment vertical="top" wrapText="1"/>
    </xf>
    <xf numFmtId="0" fontId="1" fillId="0" borderId="3"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V21"/>
  <sheetViews>
    <sheetView tabSelected="1" workbookViewId="0">
      <pane xSplit="1" ySplit="1" topLeftCell="B20" activePane="bottomRight" state="frozen"/>
      <selection activeCell="A1" sqref="A1"/>
      <selection pane="topRight" activeCell="A1" sqref="A1"/>
      <selection pane="bottomLeft" activeCell="A1" sqref="A1"/>
      <selection pane="bottomRight" activeCell="E16" sqref="E16"/>
    </sheetView>
  </sheetViews>
  <sheetFormatPr baseColWidth="8" defaultColWidth="9" defaultRowHeight="13.8"/>
  <cols>
    <col width="13.0648148148148" customWidth="1" style="10" min="1" max="1"/>
    <col width="14" customWidth="1" style="10" min="2" max="2"/>
    <col width="16" customWidth="1" style="10" min="3" max="3"/>
    <col width="10" customWidth="1" style="10" min="4" max="4"/>
    <col width="40" customWidth="1" style="10" min="5" max="5"/>
    <col width="55" customWidth="1" style="10" min="6" max="6"/>
    <col width="40" customWidth="1" style="10" min="7" max="7"/>
    <col width="30" customWidth="1" style="10" min="8" max="8"/>
    <col width="9" customWidth="1" style="10" min="9" max="9"/>
    <col width="80" customWidth="1" style="10" min="10" max="10"/>
    <col width="30" customWidth="1" style="10" min="11" max="11"/>
    <col width="60" customWidth="1" style="10" min="12" max="12"/>
    <col width="7" customWidth="1" style="10" min="13" max="13"/>
    <col width="9" customWidth="1" style="10" min="14" max="18"/>
    <col width="12" customWidth="1" style="10" min="19" max="19"/>
    <col width="40" customWidth="1" style="10" min="20" max="20"/>
    <col width="10" customWidth="1" style="10" min="21" max="21"/>
    <col width="9" customWidth="1" style="10" min="22" max="22"/>
    <col width="9" customWidth="1" style="10" min="23" max="16384"/>
  </cols>
  <sheetData>
    <row r="1" ht="43.2" customFormat="1" customHeight="1" s="8">
      <c r="A1" s="12" t="inlineStr">
        <is>
          <t>question_id</t>
        </is>
      </c>
      <c r="B1" s="12" t="inlineStr">
        <is>
          <t>Question type</t>
        </is>
      </c>
      <c r="C1" s="12" t="inlineStr">
        <is>
          <t>Region</t>
        </is>
      </c>
      <c r="D1" s="12" t="inlineStr">
        <is>
          <t>Answerability</t>
        </is>
      </c>
      <c r="E1" s="12" t="inlineStr">
        <is>
          <t>Question</t>
        </is>
      </c>
      <c r="F1" s="12" t="inlineStr">
        <is>
          <t>Reference answer</t>
        </is>
      </c>
      <c r="G1" s="12" t="inlineStr">
        <is>
          <t>Required points</t>
        </is>
      </c>
      <c r="H1" s="12" t="inlineStr">
        <is>
          <t>Major errors</t>
        </is>
      </c>
      <c r="I1" s="12" t="inlineStr">
        <is>
          <t>Answerable / to decline</t>
        </is>
      </c>
      <c r="J1" s="12" t="inlineStr">
        <is>
          <t>Cited passages (text omitted)</t>
        </is>
      </c>
      <c r="K1" s="12" t="inlineStr">
        <is>
          <t>Original URL</t>
        </is>
      </c>
      <c r="L1" s="12" t="inlineStr">
        <is>
          <t>Other retrieved passages (text omitted)</t>
        </is>
      </c>
      <c r="M1" s="12" t="inlineStr">
        <is>
          <t>1 Facts correct</t>
        </is>
      </c>
      <c r="N1" s="12" t="inlineStr">
        <is>
          <t>2 Numbers and units</t>
        </is>
      </c>
      <c r="O1" s="12" t="inlineStr">
        <is>
          <t>3 Qualifications kept</t>
        </is>
      </c>
      <c r="P1" s="12" t="inlineStr">
        <is>
          <t>4 Not beyond the source</t>
        </is>
      </c>
      <c r="Q1" s="12" t="inlineStr">
        <is>
          <t>5 Required points sensible</t>
        </is>
      </c>
      <c r="R1" s="12" t="inlineStr">
        <is>
          <t>6 Question clear</t>
        </is>
      </c>
      <c r="S1" s="12" t="inlineStr">
        <is>
          <t>Review result</t>
        </is>
      </c>
      <c r="T1" s="11" t="inlineStr">
        <is>
          <t>Change notes</t>
        </is>
      </c>
      <c r="U1" s="12" t="inlineStr">
        <is>
          <t>Reviewer</t>
        </is>
      </c>
      <c r="V1" s="13" t="n"/>
    </row>
    <row r="2" ht="150" customHeight="1">
      <c r="A2" s="6" t="inlineStr">
        <is>
          <t>T001</t>
        </is>
      </c>
      <c r="B2" s="6" t="inlineStr">
        <is>
          <t>symptoms_identification</t>
        </is>
      </c>
      <c r="C2" s="6" t="inlineStr">
        <is>
          <t>unspecified</t>
        </is>
      </c>
      <c r="D2" s="6" t="inlineStr">
        <is>
          <t>answerable</t>
        </is>
      </c>
      <c r="E2" s="6" t="inlineStr">
        <is>
          <t>Some leaves and young apples have dark olive-green, velvety spots, and some fruit are cracking. What is this and what should I do?</t>
        </is>
      </c>
      <c r="F2" s="6"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G2" s="6" t="inlineStr">
        <is>
          <t>• identifies apple scab
• olive-green to black velvety spots; fruit spots become scabby/corky and can crack
• overwinters in fallen leaves; spring rain infections
• reduce leaf litter, prune for drying, timed protective fungicides in wet periods</t>
        </is>
      </c>
      <c r="H2" s="6" t="inlineStr">
        <is>
          <t>• diagnoses powdery mildew or sooty blotch
• recommends only summer treatment and ignores primary spring infection</t>
        </is>
      </c>
      <c r="I2" s="6" t="inlineStr"/>
      <c r="J2" s="6" t="inlineStr">
        <is>
          <t>[S001:web:1 | Apple Scab | Symptoms and Signs | United States - California | date Text Updated: 10/15; Treatment Table Updated: 10/15]
[S174:web:2 | Fact Sheet: Apple Scab | What does apple scab look like? | United States | date unknown]
[Pac2f744e6d94a879:p19:c1 | Crop Profile for Apple in Canada, 2022 (Sixth Edition, 2023) | Apple Scab (Venturia inaequalis); biology/cultural management, Canada 2023 | Canada | date 2023]
[S001:web:2 | Apple Scab | Comments on the Disease | United States - California | date Text Updated: 10/15; Treatment Table Updated: 10/15]
[S001:web:3 | Apple Scab | Management | United States - California | date Text Updated: 10/15; Treatment Table Updated: 10/15]
[S001:web:26 | Apple Scab | Treatment Decisions | United States - California | date Text Updated: 10/15; Treatment Table Updated: 10/15]
[S174:web:5 | Fact Sheet: Apple Scab | How do I prevent and control apple scab? | United States | date unknown]
[Pac2f744e6d94a879:p19:c2 | Crop Profile for Apple in Canada, 2022 (Sixth Edition, 2023) | Apple Scab (Venturia inaequalis); biology/cultural management, Canada 2023 | Canada | date 2023]
[passage text omitted for copyright; see the chunk ids above and data/registers/source_register.json]</t>
        </is>
      </c>
      <c r="K2" s="14" t="inlineStr">
        <is>
          <t>https://ipm.ucanr.edu/agriculture/apple/apple-scab/
https://blogs.cornell.edu/applevarietydatabase/fact-sheet-apple-scab/
https://publications.gc.ca/collections/collection_2023/aac-aafc/A118-10-7-2022-eng.pdf</t>
        </is>
      </c>
      <c r="L2" s="6" t="inlineStr">
        <is>
          <t>Retrieval rank of cited passage: 1
#1 S209:web:2 (0.757)Apple Disease - Marssonina Blotch | Marssonina Blotch Symptoms on Apple Trees
#2 S250:web:2 (0.745)Pome Fruit Disease - Rust | Symptoms
#3 S212:web:2 (0.734)Apple Diseases - Fruit Rots, Control at Apple Harvest (and Postharvest) | Necrotic Leaf Blotch vs. Gomerella Leaf Spot
#4 S248:web:2 (0.728)Pome Fruit Disease - Black Rot and Frogeye Leaf Spot | Symptoms
[passage text omitted for copyright; see the chunk ids above and data/registers/source_register.json]</t>
        </is>
      </c>
      <c r="M2" s="17" t="inlineStr">
        <is>
          <t>✓</t>
        </is>
      </c>
      <c r="N2" s="17" t="inlineStr">
        <is>
          <t>NA</t>
        </is>
      </c>
      <c r="O2" s="17" t="inlineStr">
        <is>
          <t>✓</t>
        </is>
      </c>
      <c r="P2" s="17" t="inlineStr">
        <is>
          <t>✓</t>
        </is>
      </c>
      <c r="Q2" s="17" t="inlineStr">
        <is>
          <t>✓</t>
        </is>
      </c>
      <c r="R2" s="17" t="inlineStr">
        <is>
          <t>✓</t>
        </is>
      </c>
      <c r="S2" s="17" t="inlineStr">
        <is>
          <t>Passed</t>
        </is>
      </c>
      <c r="T2" s="19" t="n"/>
      <c r="U2" s="17" t="inlineStr">
        <is>
          <t>Wenyu Wu</t>
        </is>
      </c>
      <c r="V2" s="10" t="n"/>
    </row>
    <row r="3" ht="150" customHeight="1">
      <c r="A3" s="6" t="inlineStr">
        <is>
          <t>T004</t>
        </is>
      </c>
      <c r="B3" s="6" t="inlineStr">
        <is>
          <t>symptoms_identification</t>
        </is>
      </c>
      <c r="C3" s="6" t="inlineStr">
        <is>
          <t>unspecified</t>
        </is>
      </c>
      <c r="D3" s="6" t="inlineStr">
        <is>
          <t>answerable</t>
        </is>
      </c>
      <c r="E3" s="6" t="inlineStr">
        <is>
          <t>Some apples have tiny shallow holes like pin pricks with a little dead tissue, but no worm inside. What is causing this?</t>
        </is>
      </c>
      <c r="F3" s="6" t="inlineStr">
        <is>
          <t>These are codling moth stings: small, shallow pin-prick holes with a little dead tissue, made by young larvae that bored a short distance into the fruit and died (often after being poisoned by insecticide). By contrast, deep entries are tunnels to the core with frass at the entry hole and a live larva feeding on the seeds. Stings lower fruit value from fresh market to processing grade, so they indicate codling moth pressure that needs properly timed control.</t>
        </is>
      </c>
      <c r="G3" s="6" t="inlineStr">
        <is>
          <t>• identifies codling moth stings
• young larvae entered a short distance and died
• contrast with deep entries (tunnel to core, frass)
• stings downgrade fruit and indicate codling moth pressure</t>
        </is>
      </c>
      <c r="H3" s="6" t="inlineStr">
        <is>
          <t>• attributes the holes to apple maggot or hail without considering codling moth</t>
        </is>
      </c>
      <c r="I3" s="6" t="inlineStr"/>
      <c r="J3" s="6" t="inlineStr">
        <is>
          <t>[S022:web:4 | Tree Fruit Insect Pest - Codling Moth | Damage | United States - Pennsylvania | date February 25, 2026]
[S006:web:2 | Codling Moth | Damage | United States - California | date Text Updated: 12/09; Treatment Table Updated: 10/15]
[passage text omitted for copyright; see the chunk ids above and data/registers/source_register.json]</t>
        </is>
      </c>
      <c r="K3" s="18" t="inlineStr">
        <is>
          <t>https://extension.psu.edu/tree-fruit-insect-pest-codling-moth
https://ipm.ucanr.edu/agriculture/apple/codling-moth/</t>
        </is>
      </c>
      <c r="L3" s="6" t="inlineStr">
        <is>
          <t>Retrieval rank of cited passage: 1
#1 S023:web:3 (0.740)Tree Fruit Insect Pest - Lesser Appleworm | Injury
#2 S211:web:2 (0.732)Apple Disease: Moldy Core | Symptoms
#3 Pc857494577bd34fb:p30:c1 (0.726)Apple IPM for Beginners | Worms in apple fruit
#4 S211:web:1 (0.722)Apple Disease: Moldy Core | Overview
[passage text omitted for copyright; see the chunk ids above and data/registers/source_register.json]</t>
        </is>
      </c>
      <c r="M3" s="17" t="inlineStr">
        <is>
          <t>✓</t>
        </is>
      </c>
      <c r="N3" s="17" t="inlineStr">
        <is>
          <t>NA</t>
        </is>
      </c>
      <c r="O3" s="17" t="inlineStr">
        <is>
          <t>✓</t>
        </is>
      </c>
      <c r="P3" s="17" t="inlineStr">
        <is>
          <t>✓</t>
        </is>
      </c>
      <c r="Q3" s="17" t="inlineStr">
        <is>
          <t>✓</t>
        </is>
      </c>
      <c r="R3" s="17" t="inlineStr">
        <is>
          <t>✓</t>
        </is>
      </c>
      <c r="S3" s="17" t="inlineStr">
        <is>
          <t>Passed</t>
        </is>
      </c>
      <c r="T3" s="19" t="n"/>
      <c r="U3" s="17" t="inlineStr">
        <is>
          <t>Wenyu Wu</t>
        </is>
      </c>
      <c r="V3" s="10" t="n"/>
    </row>
    <row r="4" ht="150" customHeight="1">
      <c r="A4" s="6" t="inlineStr">
        <is>
          <t>T008</t>
        </is>
      </c>
      <c r="B4" s="6" t="inlineStr">
        <is>
          <t>symptoms_identification</t>
        </is>
      </c>
      <c r="C4" s="6" t="inlineStr">
        <is>
          <t>unspecified</t>
        </is>
      </c>
      <c r="D4" s="6" t="inlineStr">
        <is>
          <t>answerable</t>
        </is>
      </c>
      <c r="E4" s="6" t="inlineStr">
        <is>
          <t>My apple leaves have winding or blotchy mines inside them. What is causing this and does it need treatment?</t>
        </is>
      </c>
      <c r="F4" s="6"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G4" s="6" t="inlineStr">
        <is>
          <t>• identifies leafminer mines
• usually controlled by parasitoids; outbreaks follow broad-spectrum sprays
• treat only above thresholds considering parasitism (e.g. more than 5 mines per leaf)
• often no treatment needed</t>
        </is>
      </c>
      <c r="H4" s="6" t="inlineStr">
        <is>
          <t>• recommends routine spraying for any mines
• identifies the damage as a disease</t>
        </is>
      </c>
      <c r="I4" s="6" t="inlineStr"/>
      <c r="J4" s="6" t="inlineStr">
        <is>
          <t>[S048:web:1 | Leafminers | Description of the Pest | United States - California | date Text Updated: 03/09; Treatment Table Updated: 10/15]
[S048:web:2 | Leafminers | Damage | United States - California | date Text Updated: 03/09; Treatment Table Updated: 10/15]
[S048:web:3 | Leafminers | Management | United States - California | date Text Updated: 03/09; Treatment Table Updated: 10/15]
[S048:web:6 | Leafminers | Monitoring and Treatment Decisions | United States - California | date Text Updated: 03/09; Treatment Table Updated: 10/15]
[S157:web:10 | Western tentiform leafminer | Damage | United States - Pacific Northwest | date by Elizabeth H. Beers, Jay F. Brunner, and Bruce A. Barrett, originally published 1993; revised December 2007; revised December 2007]
[S157:web:11 | Western tentiform leafminer | Biological control | United States - Pacific Northwest | date by Elizabeth H. Beers, Jay F. Brunner, and Bruce A. Barrett, originally published 1993; revised December 2007; revised December 2007]
[S217:web:1 | Tree Fruit Insect Pest - Apple Leafminer | Overview | United States - Pennsylvania | date February 25, 2026]
[passage text omitted for copyright; see the chunk ids above and data/registers/source_register.json]</t>
        </is>
      </c>
      <c r="K4" s="18" t="inlineStr">
        <is>
          <t>https://ipm.ucanr.edu/agriculture/apple/leafminers/
https://treefruit.wsu.edu/crop-protection/opm/western-tentiform-leafminer/
https://extension.psu.edu/tree-fruit-insect-pest-apple-leafminer</t>
        </is>
      </c>
      <c r="L4" s="6" t="inlineStr">
        <is>
          <t>Retrieval rank of cited passage: 5
#1 S212:web:2 (0.748)Apple Diseases - Fruit Rots, Control at Apple Harvest (and Postharvest) | Necrotic Leaf Blotch vs. Gomerella Leaf Spot
#2 S217:web:2 (0.748)Tree Fruit Insect Pest - Apple Leafminer | Description and Life Cycle
#3 S087:web:10 (0.742)Apple leafcurling midge | Monitoring
#4 Pac2f744e6d94a879:p23:c1 (0.741)Crop Profile for Apple in Canada, 2022 (Sixth Edition, 2023) | Bitter Rot and Glomerella Leaf Blotch (Colletotrichum spp.); biology/cultural management, Canada 2023
#5 S089:web:7 (0.735)Apple rust mite | Damage
[passage text omitted for copyright; see the chunk ids above and data/registers/source_register.json]</t>
        </is>
      </c>
      <c r="M4" s="17" t="inlineStr">
        <is>
          <t>✓</t>
        </is>
      </c>
      <c r="N4" s="17" t="inlineStr">
        <is>
          <t>NA</t>
        </is>
      </c>
      <c r="O4" s="17" t="inlineStr">
        <is>
          <t>✓</t>
        </is>
      </c>
      <c r="P4" s="17" t="inlineStr">
        <is>
          <t>✓</t>
        </is>
      </c>
      <c r="Q4" s="17" t="inlineStr">
        <is>
          <t>✓</t>
        </is>
      </c>
      <c r="R4" s="17" t="inlineStr">
        <is>
          <t>✓</t>
        </is>
      </c>
      <c r="S4" s="17" t="inlineStr">
        <is>
          <t>Passed</t>
        </is>
      </c>
      <c r="T4" s="19" t="n"/>
      <c r="U4" s="17" t="inlineStr">
        <is>
          <t>Wenyu Wu</t>
        </is>
      </c>
      <c r="V4" s="10" t="n"/>
    </row>
    <row r="5" ht="150" customHeight="1">
      <c r="A5" s="6" t="inlineStr">
        <is>
          <t>T011</t>
        </is>
      </c>
      <c r="B5" s="6" t="inlineStr">
        <is>
          <t>symptoms_identification</t>
        </is>
      </c>
      <c r="C5" s="6" t="inlineStr">
        <is>
          <t>unspecified</t>
        </is>
      </c>
      <c r="D5" s="6" t="inlineStr">
        <is>
          <t>answerable</t>
        </is>
      </c>
      <c r="E5" s="6" t="inlineStr">
        <is>
          <t>My apples have small dimpled spots, and under the skin the flesh is hard, brown and pithy. What could cause this?</t>
        </is>
      </c>
      <c r="F5" s="6" t="inlineStr">
        <is>
          <t>This fits stink bug feeding, including brown marmorated stink bug: the bug injects enzymes and sucks juice, leaving a tiny puncture; the flesh under the skin becomes hard and pithy, and on apples a brownish depression forms around the feeding site. Damage may not be obvious at once and often becomes clearer in storage. The bugs move in from orchard borders and nearby crops or woods, so damage is often concentrated at edges. Brown marmorated stink bug damage looks the same as that of native stink bugs.</t>
        </is>
      </c>
      <c r="G5" s="6" t="inlineStr">
        <is>
          <t>• identifies stink bug feeding (e.g. brown marmorated stink bug)
• tiny puncture, depressed spot, hard pithy flesh beneath
• damage may develop over time/in storage
• border-invading pest; damage concentrated at orchard edges</t>
        </is>
      </c>
      <c r="H5" s="6" t="inlineStr">
        <is>
          <t>• diagnoses a fungal rot or codling moth</t>
        </is>
      </c>
      <c r="I5" s="6" t="inlineStr"/>
      <c r="J5" s="6" t="inlineStr">
        <is>
          <t>[S093:web:10 | Brown marmorated stink bug | Damage | United States - Pacific Northwest | date Elizabeth H. Beers and Adrian T. Marshall, published online September 2017. Updated 2017 Betsy Beers.]
[S069:web:12 | Brown Marmorated Stink Bug Provisional Guidelines for Apple | DAMAGE | United States - California | date unknown]
[S144:web:12 | Stink bugs | Peaches | United States - Pacific Northwest | date by T. W. Anthon &amp; Elizabeth H. Beers originally published 1993; revised December 2007 by Christian Krupke; revised December 2007]
[S093:web:15 | Brown marmorated stink bug | Management | United States - Pacific Northwest | date Elizabeth H. Beers and Adrian T. Marshall, published online September 2017. Updated 2017 Betsy Beers.]
[passage text omitted for copyright; see the chunk ids above and data/registers/source_register.json]</t>
        </is>
      </c>
      <c r="K5" s="18" t="inlineStr">
        <is>
          <t>https://treefruit.wsu.edu/crop-protection/opm/brown-marmorated-stink-bug/
http://ipm.ucanr.edu/PMG/r4302711.html
https://treefruit.wsu.edu/crop-protection/opm/stink-bugs/</t>
        </is>
      </c>
      <c r="L5" s="6" t="inlineStr">
        <is>
          <t>cited passage not in the top 6
#1 S001:web:1 (0.784)Apple Scab | Symptoms and Signs
#2 S174:web:2 (0.731)Fact Sheet: Apple Scab | What does apple scab look like?
#3 S208:web:2 (0.729)Apple Disease - Core Rot | Symptoms
#4 S211:web:1 (0.723)Apple Disease: Moldy Core | Overview
#5 S072:web:7 (0.719)Apple Anthracnose | Bull’s-eye Rot
#6 Pfad1d86df7e72095:p3:c1 (0.716)Apple Anthracnose | Apple anthracnose: symptoms, cycle and cultural management
[passage text omitted for copyright; see the chunk ids above and data/registers/source_register.json]</t>
        </is>
      </c>
      <c r="M5" s="17" t="inlineStr">
        <is>
          <t>✓</t>
        </is>
      </c>
      <c r="N5" s="17" t="inlineStr">
        <is>
          <t>NA</t>
        </is>
      </c>
      <c r="O5" s="17" t="inlineStr">
        <is>
          <t>✓</t>
        </is>
      </c>
      <c r="P5" s="17" t="inlineStr">
        <is>
          <t>✓</t>
        </is>
      </c>
      <c r="Q5" s="17" t="inlineStr">
        <is>
          <t>✓</t>
        </is>
      </c>
      <c r="R5" s="17" t="inlineStr">
        <is>
          <t>✓</t>
        </is>
      </c>
      <c r="S5" s="17" t="inlineStr">
        <is>
          <t>Passed</t>
        </is>
      </c>
      <c r="T5" s="19" t="n"/>
      <c r="U5" s="17" t="inlineStr">
        <is>
          <t>Wenyu Wu</t>
        </is>
      </c>
      <c r="V5" s="10" t="n"/>
    </row>
    <row r="6" ht="150" customHeight="1">
      <c r="A6" s="6" t="inlineStr">
        <is>
          <t>T014</t>
        </is>
      </c>
      <c r="B6" s="6" t="inlineStr">
        <is>
          <t>symptoms_identification</t>
        </is>
      </c>
      <c r="C6" s="6" t="inlineStr">
        <is>
          <t>unspecified</t>
        </is>
      </c>
      <c r="D6" s="6" t="inlineStr">
        <is>
          <t>answerable</t>
        </is>
      </c>
      <c r="E6" s="6" t="inlineStr">
        <is>
          <t>My apple leaves have bright yellow-orange spots on top in spring. What is it?</t>
        </is>
      </c>
      <c r="F6" s="6" t="inlineStr">
        <is>
          <t>This is cedar-apple rust: bright yellow-orange spots on the upper leaf surface, often with a red ring, tiny black pycnia in the spots, and later raised structures (aecia) on the underside; infected fruit can be disfigured. The fungus needs eastern red cedar or juniper as an alternate host, where it forms galls with orange horns in wet spring weather. Once lesions are visible it is too late for control this season; prevention is removing nearby cedars, choosing resistant cultivars, and Penn State lists protective sprays (including mancozeb) from pink bud through first cover.</t>
        </is>
      </c>
      <c r="G6" s="6" t="inlineStr">
        <is>
          <t>• identifies cedar-apple rust
• yellow-orange leaf spots with black pycnia; aecia below
• needs cedar/juniper alternate host
• too late once visible; remove cedars, resistant cultivars, protective sprays</t>
        </is>
      </c>
      <c r="H6" s="6" t="inlineStr">
        <is>
          <t>• diagnoses apple scab or a nutrient deficiency
• recommends spraying now to cure visible spots</t>
        </is>
      </c>
      <c r="I6" s="6" t="inlineStr"/>
      <c r="J6" s="6" t="inlineStr">
        <is>
          <t>[S176:web:1 | Fact Sheet: Cedar Apple Rust | Overview | United States | date unknown]
[S250:web:2 | Pome Fruit Disease - Rust | Symptoms | United States - Pennsylvania | date June 26, 2024]
[S176:web:2 | Fact Sheet: Cedar Apple Rust | Overview | United States | date unknown]
[S250:web:4 | Pome Fruit Disease - Rust | Disease management | United States - Pennsylvania | date June 26, 2024]
[S250:web:1 | Pome Fruit Disease - Rust | Overview | United States - Pennsylvania | date June 26, 2024]
[passage text omitted for copyright; see the chunk ids above and data/registers/source_register.json]</t>
        </is>
      </c>
      <c r="K6" s="18" t="inlineStr">
        <is>
          <t>https://blogs.cornell.edu/applevarietydatabase/factsheet-cedar-apple-rust/
https://extension.psu.edu/pome-fruit-disease-rust</t>
        </is>
      </c>
      <c r="L6" s="6" t="inlineStr">
        <is>
          <t>Retrieval rank of cited passage: 1
#1 S086:web:1 (0.716)Apple grain aphid | Rhopalosiphum insertum (Walker) [= fitchii (Sanderson)] (Homoptera: Aphididae)
#2 S001:web:1 (0.714)Apple Scab | Symptoms and Signs
#3 S209:web:2 (0.710)Apple Disease - Marssonina Blotch | Marssonina Blotch Symptoms on Apple Trees
#4 S010:web:1 (0.707)Rosy Apple Aphid | Description of the Pest
#5 S003:web:2 (0.705)Powdery Mildew | Comments on the Disease
[passage text omitted for copyright; see the chunk ids above and data/registers/source_register.json]</t>
        </is>
      </c>
      <c r="M6" s="17" t="inlineStr">
        <is>
          <t>✓</t>
        </is>
      </c>
      <c r="N6" s="17" t="inlineStr">
        <is>
          <t>NA</t>
        </is>
      </c>
      <c r="O6" s="17" t="inlineStr">
        <is>
          <t>✓</t>
        </is>
      </c>
      <c r="P6" s="17" t="inlineStr">
        <is>
          <t>✓</t>
        </is>
      </c>
      <c r="Q6" s="17" t="inlineStr">
        <is>
          <t>✓</t>
        </is>
      </c>
      <c r="R6" s="17" t="inlineStr">
        <is>
          <t>✓</t>
        </is>
      </c>
      <c r="S6" s="17" t="inlineStr">
        <is>
          <t>Passed</t>
        </is>
      </c>
      <c r="T6" s="19" t="n"/>
      <c r="U6" s="17" t="inlineStr">
        <is>
          <t>Wenyu Wu</t>
        </is>
      </c>
      <c r="V6" s="10" t="n"/>
    </row>
    <row r="7" ht="150" customHeight="1">
      <c r="A7" s="6" t="inlineStr">
        <is>
          <t>T017</t>
        </is>
      </c>
      <c r="B7" s="6" t="inlineStr">
        <is>
          <t>symptoms_identification</t>
        </is>
      </c>
      <c r="C7" s="6" t="inlineStr">
        <is>
          <t>unspecified</t>
        </is>
      </c>
      <c r="D7" s="6" t="inlineStr">
        <is>
          <t>answerable</t>
        </is>
      </c>
      <c r="E7" s="6" t="inlineStr">
        <is>
          <t>My young nursery apple trees have rough, lumpy galls on the roots and at the base of the trunk. What is it?</t>
        </is>
      </c>
      <c r="F7" s="6" t="inlineStr">
        <is>
          <t>One likely cause is crown gall (Agrobacterium tumefaciens): wart-like swellings on roots, crown and trunk, lighter when young and darker when old, cracking the bark and, when large, causing decline. The bacterium lives in soil and enters through wounds or grafting. Woolly apple aphid also causes swellings (galls) on roots, with white waxy aphid colonies present, so check for the aphids. For crown gall, plant certified gall-free rootstock, remove and destroy badly affected trees, and manage weeds; antibiotic sprays are not recommended.</t>
        </is>
      </c>
      <c r="G7" s="6" t="inlineStr">
        <is>
          <t>• suggests crown gall
• considers woolly apple aphid root galls as an alternative and how to tell (waxy aphids)
• enters through wounds/grafting from soil
• certified clean stock, remove infected trees; no antibiotic sprays</t>
        </is>
      </c>
      <c r="H7" s="6" t="inlineStr">
        <is>
          <t>• recommends antibiotic sprays as the main control
• diagnoses a fungal canker</t>
        </is>
      </c>
      <c r="I7" s="6" t="inlineStr"/>
      <c r="J7" s="6" t="inlineStr">
        <is>
          <t>[S183:web:2 | Fact Sheet: Crown Gall | What does Apple Crown Gall look like? | United States | date unknown]
[S183:web:3 | Fact Sheet: Crown Gall | Where does Apple Crown Gall come from? | United States | date unknown]
[S183:web:4 | Fact Sheet: Crown Gall | How do I prevent and control Apple Crown Gall? | United States | date unknown]
[S020:web:6 | Woolly Apple Aphid | Damage | United States - Pacific Northwest | date by Elizabeth H. Beers, Stanley C. Hoyt, and Michael J. Willett, originally published 1993; revised March 2010 E. Beers; and June 2019 Robert J. Orpet.; revised March 2010]
[S244:web:2 | Tree Fruit Insect Pest - Woolly Apple Aphid | Description and Life Cycle | United States - Pennsylvania | date January 5, 2024]
[passage text omitted for copyright; see the chunk ids above and data/registers/source_register.json]</t>
        </is>
      </c>
      <c r="K7" s="18" t="inlineStr">
        <is>
          <t>https://blogs.cornell.edu/applevarietydatabase/fact-sheet-crown-gall/
https://treefruit.wsu.edu/crop-protection/opm/woolly-apple-aphid/
https://extension.psu.edu/tree-fruit-insect-pest-woolly-apple-aphid</t>
        </is>
      </c>
      <c r="L7" s="6" t="inlineStr">
        <is>
          <t>Retrieval rank of cited passage: 3
#1 S087:web:10 (0.753)Apple leafcurling midge | Monitoring
#2 S183:web:1 (0.747)Fact Sheet: Crown Gall | What is Apple Crown Gall?
#3 S250:web:2 (0.736)Pome Fruit Disease - Rust | Symptoms
#4 S208:web:2 (0.727)Apple Disease - Core Rot | Symptoms
[passage text omitted for copyright; see the chunk ids above and data/registers/source_register.json]</t>
        </is>
      </c>
      <c r="M7" s="17" t="inlineStr">
        <is>
          <t>✓</t>
        </is>
      </c>
      <c r="N7" s="17" t="inlineStr">
        <is>
          <t>NA</t>
        </is>
      </c>
      <c r="O7" s="17" t="inlineStr">
        <is>
          <t>✓</t>
        </is>
      </c>
      <c r="P7" s="17" t="inlineStr">
        <is>
          <t>✓</t>
        </is>
      </c>
      <c r="Q7" s="17" t="inlineStr">
        <is>
          <t>✓</t>
        </is>
      </c>
      <c r="R7" s="17" t="inlineStr">
        <is>
          <t>✓</t>
        </is>
      </c>
      <c r="S7" s="17" t="inlineStr">
        <is>
          <t>Passed</t>
        </is>
      </c>
      <c r="T7" s="19" t="n"/>
      <c r="U7" s="17" t="inlineStr">
        <is>
          <t>Wenyu Wu</t>
        </is>
      </c>
      <c r="V7" s="10" t="n"/>
    </row>
    <row r="8" ht="150" customHeight="1">
      <c r="A8" s="6" t="inlineStr">
        <is>
          <t>T018</t>
        </is>
      </c>
      <c r="B8" s="6" t="inlineStr">
        <is>
          <t>conditions_risk</t>
        </is>
      </c>
      <c r="C8" s="6" t="inlineStr">
        <is>
          <t>unspecified</t>
        </is>
      </c>
      <c r="D8" s="6" t="inlineStr">
        <is>
          <t>answerable</t>
        </is>
      </c>
      <c r="E8" s="6" t="inlineStr">
        <is>
          <t>New apple trees I planted where an old orchard used to be are growing poorly and look stunted. What is wrong?</t>
        </is>
      </c>
      <c r="F8" s="6" t="inlineStr">
        <is>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is>
      </c>
      <c r="G8" s="6" t="inlineStr">
        <is>
          <t>• identifies apple replant disease
• symptoms: uneven stunted growth, damaged roots
• soil pathogen complex from previous orchard
• tolerant rootstocks (Geneva) and planting in old grass alleys</t>
        </is>
      </c>
      <c r="H8" s="6" t="inlineStr">
        <is>
          <t>• blames only fertiliser shortage
• recommends replanting the same rootstock in the same holes</t>
        </is>
      </c>
      <c r="I8" s="6" t="inlineStr"/>
      <c r="J8" s="6" t="inlineStr">
        <is>
          <t>[S073:web:2 | Apple Replant Disease | Symptoms | United States - Pacific Northwest | date unknown]
[S073:web:3 | Apple Replant Disease | Causal Organism and Disease Cycle | United States - Pacific Northwest | date unknown]
[S073:web:8 | Apple Replant Disease | Choose tolerant rootstock | United States - Pacific Northwest | date unknown]
[S073:web:17 | Apple Replant Disease | Planting position | United States - Pacific Northwest | date unknown]
[S073:web:7 | Apple Replant Disease | Water management | United States - Pacific Northwest | date unknown]
[S073:web:5 | Apple Replant Disease | Plant nematode-free trees | United States - Pacific Northwest | date unknown]
[S073:web:6 | Apple Replant Disease | Crop rotation | United States - Pacific Northwest | date unknown]
[S073:web:18 | Apple Replant Disease | Soil fumigation | United States - Pacific Northwest | date unknown]
[passage text omitted for copyright; see the chunk ids above and data/registers/source_register.json]</t>
        </is>
      </c>
      <c r="K8" s="14" t="inlineStr">
        <is>
          <t>https://treefruit.wsu.edu/crop-protection/disease-management/apple-replant-disease/</t>
        </is>
      </c>
      <c r="L8" s="6" t="inlineStr">
        <is>
          <t>Retrieval rank of cited passage: 1
#1 S210:web:1 (0.682)Apple Disease - Powdery Mildew | Overview
#2 S266:web:1 (0.659)Apple leaf-curling midge (ALCM) | Summary
#3 Pc857494577bd34fb:p24:c1 (0.658)Apple IPM for Beginners | Apple rust diseases
#4 S001:web:1 (0.657)Apple Scab | Symptoms and Signs
[passage text omitted for copyright; see the chunk ids above and data/registers/source_register.json]</t>
        </is>
      </c>
      <c r="M8" s="17" t="inlineStr">
        <is>
          <t>✓</t>
        </is>
      </c>
      <c r="N8" s="17" t="inlineStr">
        <is>
          <t>NA</t>
        </is>
      </c>
      <c r="O8" s="17" t="inlineStr">
        <is>
          <t>✓</t>
        </is>
      </c>
      <c r="P8" s="17" t="inlineStr">
        <is>
          <t>✓</t>
        </is>
      </c>
      <c r="Q8" s="17" t="inlineStr">
        <is>
          <t>✓</t>
        </is>
      </c>
      <c r="R8" s="17" t="inlineStr">
        <is>
          <t>✓</t>
        </is>
      </c>
      <c r="S8" s="17" t="inlineStr">
        <is>
          <t>Passed</t>
        </is>
      </c>
      <c r="T8" s="19" t="n"/>
      <c r="U8" s="17" t="inlineStr">
        <is>
          <t>Wenyu Wu</t>
        </is>
      </c>
      <c r="V8" s="10" t="n"/>
    </row>
    <row r="9" ht="150" customHeight="1">
      <c r="A9" s="6" t="inlineStr">
        <is>
          <t>T023</t>
        </is>
      </c>
      <c r="B9" s="6" t="inlineStr">
        <is>
          <t>symptoms_identification</t>
        </is>
      </c>
      <c r="C9" s="6" t="inlineStr">
        <is>
          <t>unspecified</t>
        </is>
      </c>
      <c r="D9" s="6" t="inlineStr">
        <is>
          <t>answerable</t>
        </is>
      </c>
      <c r="E9" s="6" t="inlineStr">
        <is>
          <t>There are white, mealy insects in the calyx end of my apples. What are they?</t>
        </is>
      </c>
      <c r="F9" s="6" t="inlineStr">
        <is>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is>
      </c>
      <c r="G9" s="6" t="inlineStr">
        <is>
          <t>• suggests mealybugs (e.g. apple mealybug)
• considers woolly apple aphid in the calyx as an alternative
• dormant/delayed dormant or crawler-timed control; good coverage
• parasitoids help; avoid disruptive pesticides</t>
        </is>
      </c>
      <c r="H9" s="6" t="inlineStr">
        <is>
          <t>• identifies them as powdery mildew
• states a firm treatment threshold that the source does not give</t>
        </is>
      </c>
      <c r="I9" s="6" t="inlineStr"/>
      <c r="J9" s="6" t="inlineStr">
        <is>
          <t>[S088:web:5 | Apple mealybug | Adults | United States - Pacific Northwest | date by Elizabeth H. Beers , published online December 2007]
[S088:web:8 | Apple mealybug | Damage | United States - Pacific Northwest | date by Elizabeth H. Beers , published online December 2007]
[S012:web:5 | Woolly Apple Aphid | Biological Control | United States - California | date Text Updated: 01/11; Treatment Table Updated: 10/15]
[S088:web:9 | Apple mealybug | Monitoring | United States - Pacific Northwest | date by Elizabeth H. Beers , published online December 2007]
[S088:web:11 | Apple mealybug | Management | United States - Pacific Northwest | date by Elizabeth H. Beers , published online December 2007]
[S088:web:10 | Apple mealybug | Biological Control | United States - Pacific Northwest | date by Elizabeth H. Beers , published online December 2007]
[passage text omitted for copyright; see the chunk ids above and data/registers/source_register.json]</t>
        </is>
      </c>
      <c r="K9" s="18" t="inlineStr">
        <is>
          <t>https://treefruit.wsu.edu/crop-protection/opm/apple-mealybug/
https://ipm.ucanr.edu/agriculture/apple/woolly-apple-aphid/</t>
        </is>
      </c>
      <c r="L9" s="6" t="inlineStr">
        <is>
          <t>Retrieval rank of cited passage: 4
#1 S243:web:3 (0.758)Tree Fruit Insect Pest - White Apple Leafhopper | Injury
#2 S243:web:1 (0.757)Tree Fruit Insect Pest - White Apple Leafhopper | Overview
#3 S047:web:4 (0.755)Leafhoppers | Biological Control
#4 S158:web:1 (0.751)White apple leafhopper | Typhlocyba pomaria McAtee (Homoptera: Cicadellidae)
#5 S088:web:2 (0.743)Apple mealybug | Hosts
[passage text omitted for copyright; see the chunk ids above and data/registers/source_register.json]</t>
        </is>
      </c>
      <c r="M9" s="17" t="inlineStr">
        <is>
          <t>✓</t>
        </is>
      </c>
      <c r="N9" s="17" t="inlineStr">
        <is>
          <t>NA</t>
        </is>
      </c>
      <c r="O9" s="17" t="inlineStr">
        <is>
          <t>✓</t>
        </is>
      </c>
      <c r="P9" s="17" t="inlineStr">
        <is>
          <t>✓</t>
        </is>
      </c>
      <c r="Q9" s="17" t="inlineStr">
        <is>
          <t>✓</t>
        </is>
      </c>
      <c r="R9" s="17" t="inlineStr">
        <is>
          <t>✓</t>
        </is>
      </c>
      <c r="S9" s="17" t="inlineStr">
        <is>
          <t>Passed</t>
        </is>
      </c>
      <c r="T9" s="19" t="n"/>
      <c r="U9" s="17" t="inlineStr">
        <is>
          <t>Wenyu Wu</t>
        </is>
      </c>
      <c r="V9" s="10" t="n"/>
    </row>
    <row r="10" ht="150" customHeight="1">
      <c r="A10" s="6" t="inlineStr">
        <is>
          <t>T026</t>
        </is>
      </c>
      <c r="B10" s="6" t="inlineStr">
        <is>
          <t>management_strategy</t>
        </is>
      </c>
      <c r="C10" s="6" t="inlineStr">
        <is>
          <t>unspecified</t>
        </is>
      </c>
      <c r="D10" s="6" t="inlineStr">
        <is>
          <t>answerable</t>
        </is>
      </c>
      <c r="E10" s="6" t="inlineStr">
        <is>
          <t>Part of my orchard often stays waterlogged after rain. Which apple rootstocks should I avoid there?</t>
        </is>
      </c>
      <c r="F10" s="6"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t>
        </is>
      </c>
      <c r="G10" s="6" t="inlineStr">
        <is>
          <t>• links waterlogging to Phytophthora risk
• avoid MM 104 and MM 106
• notes sources differ on some rootstocks (e.g. M 26); Geneva rootstocks most resistant
• no rootstock resists all species; combine with drainage and berms</t>
        </is>
      </c>
      <c r="H10" s="6" t="inlineStr">
        <is>
          <t>• recommends MM 106 or MM 104 for wet sites
• claims a rootstock is fully resistant</t>
        </is>
      </c>
      <c r="I10" s="6" t="inlineStr"/>
      <c r="J10" s="6" t="inlineStr">
        <is>
          <t>[S005:web:2 | Phytophthora Root and Crown Rot | Management | United States - California | date Text Updated: 03/09; Treatment Table Updated: 10/15]
[S076:web:8 | Phytophthora | Choose resistant rootstock | United States - Pacific Northwest | date unknown]
[passage text omitted for copyright; see the chunk ids above and data/registers/source_register.json]</t>
        </is>
      </c>
      <c r="K10" s="18" t="inlineStr">
        <is>
          <t>https://ipm.ucanr.edu/agriculture/apple/phytophthora-root-and-crown-rot/
https://treefruit.wsu.edu/crop-protection/disease-management/phytophthora/</t>
        </is>
      </c>
      <c r="L10" s="6" t="inlineStr">
        <is>
          <t>Retrieval rank of cited passage: 6
#1 Pc857494577bd34fb:p5:c2 (0.760)Apple IPM for Beginners | Introduction
#2 S015:web:10 (0.727)Fire Blight of Apple and Pear | Plant on resistant rootstock
#3 Pc161390f1584f17e:p4:c1 (0.725)Phytophthora Crown, Collar, and Root Rot of Apple and Cherry | Apple rootstocks, soil and irrigation management
#4 S020:web:10 (0.719)Woolly Apple Aphid | Management
#5 Pc857494577bd34fb:p5:c3 (0.713)Apple IPM for Beginners | Introduction
[passage text omitted for copyright; see the chunk ids above and data/registers/source_register.json]</t>
        </is>
      </c>
      <c r="M10" s="17" t="inlineStr">
        <is>
          <t>✓</t>
        </is>
      </c>
      <c r="N10" s="17" t="inlineStr">
        <is>
          <t>NA</t>
        </is>
      </c>
      <c r="O10" s="17" t="inlineStr">
        <is>
          <t>✗</t>
        </is>
      </c>
      <c r="P10" s="17" t="inlineStr">
        <is>
          <t>✓</t>
        </is>
      </c>
      <c r="Q10" s="17" t="inlineStr">
        <is>
          <t>✓</t>
        </is>
      </c>
      <c r="R10" s="17" t="inlineStr">
        <is>
          <t>✓</t>
        </is>
      </c>
      <c r="S10" s="17" t="inlineStr">
        <is>
          <t>Passed after modification</t>
        </is>
      </c>
      <c r="T10" s="19" t="inlineStr">
        <is>
          <t>State that rootstock tolerance of waterlogging also depends on soil drainage, scion and local trials; US disease susceptibility does not establish suitability in New Zealand.</t>
        </is>
      </c>
      <c r="U10" s="17" t="inlineStr">
        <is>
          <t>Wenyu Wu</t>
        </is>
      </c>
      <c r="V10" s="10" t="n"/>
    </row>
    <row r="11" ht="150" customHeight="1">
      <c r="A11" s="6" t="inlineStr">
        <is>
          <t>T030</t>
        </is>
      </c>
      <c r="B11" s="6" t="inlineStr">
        <is>
          <t>management_strategy</t>
        </is>
      </c>
      <c r="C11" s="6" t="inlineStr">
        <is>
          <t>unspecified</t>
        </is>
      </c>
      <c r="D11" s="6" t="inlineStr">
        <is>
          <t>answerable</t>
        </is>
      </c>
      <c r="E11" s="6" t="inlineStr">
        <is>
          <t>Should I protect the lady beetles and predatory mites in my orchard, and how?</t>
        </is>
      </c>
      <c r="F11" s="6" t="inlineStr">
        <is>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is>
      </c>
      <c r="G11" s="6" t="inlineStr">
        <is>
          <t>• yes: predatory mites keep pest mites low
• lady beetles (Stethorus) help but are not reliable alone
• avoid predator-toxic sprays such as pyrethroids; mind timing
• keep moderate rust mites as food; introduce predators on spur leaves</t>
        </is>
      </c>
      <c r="H11" s="6" t="inlineStr">
        <is>
          <t>• recommends broad-spectrum sprays as compatible with predators
• says predators are not useful</t>
        </is>
      </c>
      <c r="I11" s="6" t="inlineStr"/>
      <c r="J11" s="6" t="inlineStr">
        <is>
          <t>[S252:web:4 | Tree Fruit Mite Pest - European Red Mite | Monitoring | United States - Pennsylvania | date October 30, 2023]
[S213:web:2 | Orchard IPM - European Red Mite Biological Control | A little history... | United States - Pennsylvania | date September 22, 2025]
[S117:web:15 | Convergent lady beetle, transverse lady beetle, black lady beetle, Scymnus spp., mealybug destroyer | Stethorus picipes Casey | United States - Pacific Northwest | date unknown]
[S213:web:5 | Orchard IPM - European Red Mite Biological Control | Make sure not to wipe out beneficial mites | United States - Pennsylvania | date September 22, 2025]
[S156:web:9 | Typhlodromus occidentalis | Management | United States - Pacific Northwest | date by Stanley C. Hoyt and Elizabeth H. Beers, originally published 1993]
[S213:web:6 | Orchard IPM - European Red Mite Biological Control | How to get beneficial mites in your orchard | United States - Pennsylvania | date September 22, 2025]
[passage text omitted for copyright; see the chunk ids above and data/registers/source_register.json]</t>
        </is>
      </c>
      <c r="K11" s="18" t="inlineStr">
        <is>
          <t>https://extension.psu.edu/tree-fruit-mite-pest-european-red-mite
https://extension.psu.edu/orchard-ipm-european-red-mite-biological-control
https://treefruit.wsu.edu/crop-protection/opm/lady-beetles/
https://treefruit.wsu.edu/crop-protection/opm/western-predatory-mite/</t>
        </is>
      </c>
      <c r="L11" s="6" t="inlineStr">
        <is>
          <t>Retrieval rank of cited passage: 1
#1 S252:web:31 (0.749)Tree Fruit Mite Pest - European Red Mite | Mite Action Thresholds and Predator/Prey Ratio Calculations
[passage text omitted for copyright; see the chunk ids above and data/registers/source_register.json]</t>
        </is>
      </c>
      <c r="M11" s="17" t="inlineStr">
        <is>
          <t>✓</t>
        </is>
      </c>
      <c r="N11" s="17" t="inlineStr">
        <is>
          <t>NA</t>
        </is>
      </c>
      <c r="O11" s="17" t="inlineStr">
        <is>
          <t>✓</t>
        </is>
      </c>
      <c r="P11" s="17" t="inlineStr">
        <is>
          <t>✓</t>
        </is>
      </c>
      <c r="Q11" s="17" t="inlineStr">
        <is>
          <t>✓</t>
        </is>
      </c>
      <c r="R11" s="17" t="inlineStr">
        <is>
          <t>✓</t>
        </is>
      </c>
      <c r="S11" s="17" t="inlineStr">
        <is>
          <t>Passed</t>
        </is>
      </c>
      <c r="T11" s="19" t="n"/>
      <c r="U11" s="17" t="inlineStr">
        <is>
          <t>Wenyu Wu</t>
        </is>
      </c>
      <c r="V11" s="10" t="n"/>
    </row>
    <row r="12" ht="150" customHeight="1">
      <c r="A12" s="6" t="inlineStr">
        <is>
          <t>T031</t>
        </is>
      </c>
      <c r="B12" s="6" t="inlineStr">
        <is>
          <t>symptoms_identification</t>
        </is>
      </c>
      <c r="C12" s="6" t="inlineStr">
        <is>
          <t>unspecified</t>
        </is>
      </c>
      <c r="D12" s="6" t="inlineStr">
        <is>
          <t>answerable</t>
        </is>
      </c>
      <c r="E12" s="6" t="inlineStr">
        <is>
          <t>Some apple leaves have small blisters that started green or red and are turning brown or black. What is it?</t>
        </is>
      </c>
      <c r="F12" s="6" t="inlineStr">
        <is>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is>
      </c>
      <c r="G12" s="6" t="inlineStr">
        <is>
          <t>• identifies blister mites
• green/red blisters turning brown-black; fruit scarring
• rare under good IPM; mostly neglected orchards
• post-harvest or pre-bloom timing; summer too late</t>
        </is>
      </c>
      <c r="H12" s="6" t="inlineStr">
        <is>
          <t>• diagnoses a fungal leaf spot
• recommends summer sprays to prevent fruit damage</t>
        </is>
      </c>
      <c r="I12" s="6" t="inlineStr"/>
      <c r="J12" s="6" t="inlineStr">
        <is>
          <t>[S092:web:8 | Pearleaf and appleleaf blister mite | Damage | United States - Pacific Northwest | date unknown]
[S092:web:1 | Pearleaf and appleleaf blister mite | Phytoptus mali (Burts) | United States - Pacific Northwest | date unknown]
[S092:web:7 | Pearleaf and appleleaf blister mite | Life history | United States - Pacific Northwest | date unknown]
[S092:web:11 | Pearleaf and appleleaf blister mite | Management | United States - Pacific Northwest | date unknown]
[passage text omitted for copyright; see the chunk ids above and data/registers/source_register.json]</t>
        </is>
      </c>
      <c r="K12" s="18" t="inlineStr">
        <is>
          <t>https://treefruit.wsu.edu/crop-protection/opm/blister-mites/</t>
        </is>
      </c>
      <c r="L12" s="6" t="inlineStr">
        <is>
          <t>Retrieval rank of cited passage: 2
#1 S174:web:2 (0.786)Fact Sheet: Apple Scab | What does apple scab look like?
#2 S209:web:2 (0.768)Apple Disease - Marssonina Blotch | Marssonina Blotch Symptoms on Apple Trees
#3 S001:web:1 (0.766)Apple Scab | Symptoms and Signs
#4 S248:web:2 (0.748)Pome Fruit Disease - Black Rot and Frogeye Leaf Spot | Symptoms
#5 S212:web:2 (0.738)Apple Diseases - Fruit Rots, Control at Apple Harvest (and Postharvest) | Necrotic Leaf Blotch vs. Gomerella Leaf Spot
[passage text omitted for copyright; see the chunk ids above and data/registers/source_register.json]</t>
        </is>
      </c>
      <c r="M12" s="17" t="inlineStr">
        <is>
          <t>✓</t>
        </is>
      </c>
      <c r="N12" s="17" t="inlineStr">
        <is>
          <t>NA</t>
        </is>
      </c>
      <c r="O12" s="17" t="inlineStr">
        <is>
          <t>✓</t>
        </is>
      </c>
      <c r="P12" s="17" t="inlineStr">
        <is>
          <t>✓</t>
        </is>
      </c>
      <c r="Q12" s="17" t="inlineStr">
        <is>
          <t>✓</t>
        </is>
      </c>
      <c r="R12" s="17" t="inlineStr">
        <is>
          <t>✓</t>
        </is>
      </c>
      <c r="S12" s="17" t="inlineStr">
        <is>
          <t>Passed</t>
        </is>
      </c>
      <c r="T12" s="19" t="n"/>
      <c r="U12" s="17" t="inlineStr">
        <is>
          <t>Wenyu Wu</t>
        </is>
      </c>
      <c r="V12" s="10" t="n"/>
    </row>
    <row r="13" ht="150" customHeight="1">
      <c r="A13" s="6" t="inlineStr">
        <is>
          <t>T033</t>
        </is>
      </c>
      <c r="B13" s="6" t="inlineStr">
        <is>
          <t>management_strategy</t>
        </is>
      </c>
      <c r="C13" s="6" t="inlineStr">
        <is>
          <t>unspecified</t>
        </is>
      </c>
      <c r="D13" s="6" t="inlineStr">
        <is>
          <t>partial</t>
        </is>
      </c>
      <c r="E13" s="6" t="inlineStr">
        <is>
          <t>Which fungicides should I worry about losing effectiveness against powdery mildew?</t>
        </is>
      </c>
      <c r="F13" s="6" t="inlineStr">
        <is>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t>
        </is>
      </c>
      <c r="G13" s="6" t="inlineStr">
        <is>
          <t>• names single-site groups at risk: DMI (FRAC 3), QoI (FRAC 11), SDHI (FRAC 7)
• no control failures reported at survey time (NY)
• multisite/oil products have lower resistance risk
• notes the resistance status is uncertain and should be monitored, not assumed</t>
        </is>
      </c>
      <c r="H13" s="6" t="inlineStr">
        <is>
          <t>• claims widespread confirmed resistance
• recommends repeated use of a single fungicide group</t>
        </is>
      </c>
      <c r="I13" s="6" t="inlineStr">
        <is>
          <t>Answerable: risk categories and survey background; qualify: survey results not in the corpus</t>
        </is>
      </c>
      <c r="J13" s="6" t="inlineStr">
        <is>
          <t>[P3ce0df53da45bda5:p1:c1 | Assessment of Fungicide Resistance via Molecular Assay in Populations of Podosphaera leucotricha, Causal Agent of Apple Powdery Mildew, in New York | Reviewed abstract only; full methods/tables not admitted | United States - New York | date 2023]
[S014:web:16 | Apple Powdery Mildew | Chemical Controls | United States - Pacific Northwest | date 2024-07]
[P93502a866cffdf0e:p7:c1 | Control of powdery mildew (Podosphaera leucotricha) on apple seedlings using anhydrous milk fat and soybean oil emulsions | Discussion/conclusion – dated experimental context | New Zealand - controlled apple-seedling glasshouse trials | date 2011]
[passage text omitted for copyright; see the chunk ids above and data/registers/source_register.json]</t>
        </is>
      </c>
      <c r="K13" s="18" t="inlineStr">
        <is>
          <t>https://doi.org/10.1094/PDIS-12-22-2820-SR
https://treefruit.wsu.edu/crop-protection/apple-powdery-mildew/
https://journal.nzpps.org/index.php/nzpp/article/view/5982</t>
        </is>
      </c>
      <c r="L13" s="6" t="inlineStr">
        <is>
          <t>Retrieval rank of cited passage: 3
#1 S014:web:17 (0.821)Apple Powdery Mildew | Table 2 Fungicides registered to control of powdery mildews in conventional orchards.
#2 S003:web:3 (0.788)Powdery Mildew | Management
#3 S014:web:18 (0.769)Apple Powdery Mildew | Table 2 Fungicides registered to control of powdery mildews in conventional orchards.
#4 S210:web:4 (0.763)Apple Disease - Powdery Mildew | Disease Management
#5 P6b24c75c81538249:p7:c2 (0.760)Slaked lime, baking soda and mineral oil for blackspot and powdery mildew control in apples | Discussion/conclusion – dated experimental context
[passage text omitted for copyright; see the chunk ids above and data/registers/source_register.json]</t>
        </is>
      </c>
      <c r="M13" s="17" t="inlineStr">
        <is>
          <t>✓</t>
        </is>
      </c>
      <c r="N13" s="17" t="inlineStr">
        <is>
          <t>NA</t>
        </is>
      </c>
      <c r="O13" s="17" t="inlineStr">
        <is>
          <t>✗</t>
        </is>
      </c>
      <c r="P13" s="17" t="inlineStr">
        <is>
          <t>✓</t>
        </is>
      </c>
      <c r="Q13" s="17" t="inlineStr">
        <is>
          <t>✓</t>
        </is>
      </c>
      <c r="R13" s="17" t="inlineStr">
        <is>
          <t>✓</t>
        </is>
      </c>
      <c r="S13" s="17" t="inlineStr">
        <is>
          <t>Passed after modification</t>
        </is>
      </c>
      <c r="T13" s="19" t="inlineStr">
        <is>
          <t>State that FRAC groups, local registration lists and resistance monitoring differ by region; do not generalise that all single-site fungicides have failed. Re-check whether the original corpus contains material for the part to decline; the current excerpts do not prove that the whole corpus lacks such evidence.</t>
        </is>
      </c>
      <c r="U13" s="17" t="inlineStr">
        <is>
          <t>Wenyu Wu</t>
        </is>
      </c>
      <c r="V13" s="10" t="n"/>
    </row>
    <row r="14" ht="150" customHeight="1">
      <c r="A14" s="6" t="inlineStr">
        <is>
          <t>T034</t>
        </is>
      </c>
      <c r="B14" s="6" t="inlineStr">
        <is>
          <t>monitoring_sampling</t>
        </is>
      </c>
      <c r="C14" s="6" t="inlineStr">
        <is>
          <t>unspecified</t>
        </is>
      </c>
      <c r="D14" s="6" t="inlineStr">
        <is>
          <t>answerable</t>
        </is>
      </c>
      <c r="E14" s="6" t="inlineStr">
        <is>
          <t>How do I know if my apple trees have woolly apple aphid on the roots?</t>
        </is>
      </c>
      <c r="F14" s="6"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G14" s="6" t="inlineStr">
        <is>
          <t>• inspect roots and crown for galls/swellings and waxy colonies
• signs: abnormal root swellings, fibrous roots, yellowish foliage, easily uprooted young trees
• root colonies are the most damaging
• overwinters on roots and moves up the trunk</t>
        </is>
      </c>
      <c r="H14" s="6" t="inlineStr">
        <is>
          <t>• says woolly apple aphid only lives on branches</t>
        </is>
      </c>
      <c r="I14" s="6" t="inlineStr"/>
      <c r="J14" s="6" t="inlineStr">
        <is>
          <t>[S244:web:2 | Tree Fruit Insect Pest - Woolly Apple Aphid | Description and Life Cycle | United States - Pennsylvania | date January 5, 2024]
[S020:web:6 | Woolly Apple Aphid | Damage | United States - Pacific Northwest | date by Elizabeth H. Beers, Stanley C. Hoyt, and Michael J. Willett, originally published 1993; revised March 2010 E. Beers; and June 2019 Robert J. Orpet.; revised March 2010]
[S020:web:5 | Woolly Apple Aphid | Life history | United States - Pacific Northwest | date by Elizabeth H. Beers, Stanley C. Hoyt, and Michael J. Willett, originally published 1993; revised March 2010 E. Beers; and June 2019 Robert J. Orpet.; revised March 2010]
[S012:web:1 | Woolly Apple Aphid | Description of the Pest | United States - California | date Text Updated: 01/11; Treatment Table Updated: 10/15]
[passage text omitted for copyright; see the chunk ids above and data/registers/source_register.json]</t>
        </is>
      </c>
      <c r="K14" s="18" t="inlineStr">
        <is>
          <t>https://extension.psu.edu/tree-fruit-insect-pest-woolly-apple-aphid
https://treefruit.wsu.edu/crop-protection/opm/woolly-apple-aphid/
https://ipm.ucanr.edu/agriculture/apple/woolly-apple-aphid/</t>
        </is>
      </c>
      <c r="L14" s="6" t="inlineStr">
        <is>
          <t>Retrieval rank of cited passage: 1
#1 Pac2f744e6d94a879:p53:c1 (0.824)Crop Profile for Apple in Canada, 2022 (Sixth Edition, 2023) | Woolly Apple Aphid (Eriosoma lanigerum); biology/cultural management, Canada 2023
#2 S244:web:1 (0.821)Tree Fruit Insect Pest - Woolly Apple Aphid | Overview
[passage text omitted for copyright; see the chunk ids above and data/registers/source_register.json]</t>
        </is>
      </c>
      <c r="M14" s="17" t="inlineStr">
        <is>
          <t>✓</t>
        </is>
      </c>
      <c r="N14" s="17" t="inlineStr">
        <is>
          <t>NA</t>
        </is>
      </c>
      <c r="O14" s="17" t="inlineStr">
        <is>
          <t>✓</t>
        </is>
      </c>
      <c r="P14" s="17" t="inlineStr">
        <is>
          <t>✓</t>
        </is>
      </c>
      <c r="Q14" s="17" t="inlineStr">
        <is>
          <t>✓</t>
        </is>
      </c>
      <c r="R14" s="17" t="inlineStr">
        <is>
          <t>✓</t>
        </is>
      </c>
      <c r="S14" s="17" t="inlineStr">
        <is>
          <t>Passed</t>
        </is>
      </c>
      <c r="T14" s="19" t="n"/>
      <c r="U14" s="17" t="inlineStr">
        <is>
          <t>Wenyu Wu</t>
        </is>
      </c>
      <c r="V14" s="10" t="n"/>
    </row>
    <row r="15" ht="150" customHeight="1">
      <c r="A15" s="6" t="inlineStr">
        <is>
          <t>T037</t>
        </is>
      </c>
      <c r="B15" s="6" t="inlineStr">
        <is>
          <t>management_strategy</t>
        </is>
      </c>
      <c r="C15" s="6" t="inlineStr">
        <is>
          <t>New Zealand</t>
        </is>
      </c>
      <c r="D15" s="6" t="inlineStr">
        <is>
          <t>answerable</t>
        </is>
      </c>
      <c r="E15" s="6" t="inlineStr">
        <is>
          <t>I'm in New Zealand. How should I prune out European canker in my orchard?</t>
        </is>
      </c>
      <c r="F15" s="6"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G15" s="6" t="inlineStr">
        <is>
          <t>• remove all visible cankers in winter pruning
• cut at least 300 mm below the lowest canker; don't prune in rain
• sterilise tools; remove and burn infected material
• wounds (pruning, picking, thinning, leaf scars) are infection sites; infection year-round</t>
        </is>
      </c>
      <c r="H15" s="6" t="inlineStr">
        <is>
          <t>• recommends scraping cankers as sufficient
• recommends pruning during rain</t>
        </is>
      </c>
      <c r="I15" s="6" t="inlineStr"/>
      <c r="J15" s="6" t="inlineStr">
        <is>
          <t>[S279:web:6 | European canker | Cultural control | New Zealand | date unknown]
[S279:web:1 | European canker | Summary | New Zealand | date unknown]
[S279:web:5 | European canker | Timing of expression | New Zealand | date unknown]
[P86663e8e7add6d5b:p6:c2 | Seasonal wound presence and susceptibility to Neonectria ditissima infection in New Zealand apple trees | Discussion/conclusion – dated experimental context | New Zealand - apple wound-inoculation trials | date 2015]
[P86663e8e7add6d5b:p7:c1 | Seasonal wound presence and susceptibility to Neonectria ditissima infection in New Zealand apple trees | Discussion/conclusion – dated experimental context | New Zealand - apple wound-inoculation trials | date 2015]
[passage text omitted for copyright; see the chunk ids above and data/registers/source_register.json]</t>
        </is>
      </c>
      <c r="K15" s="18" t="inlineStr">
        <is>
          <t>https://www.hortinfo.co.nz/textfiles/pdh301_59.htm
http://www.journal.nzpps.org/index.php/nzpp/article/view/5799</t>
        </is>
      </c>
      <c r="L15" s="6" t="inlineStr">
        <is>
          <t>Retrieval rank of cited passage: 6
#1 S004:web:3 (0.790)European Canker | Management
#2 S004:web:5 (0.783)European Canker | Treatment Decisions
#3 S015:web:11 (0.772)Fire Blight of Apple and Pear | Winter sanitation
#4 S016:web:6 (0.764)Bull's Eye Rot | Cultural Controls
#5 S279:web:2 (0.757)European canker | Overview
[passage text omitted for copyright; see the chunk ids above and data/registers/source_register.json]</t>
        </is>
      </c>
      <c r="M15" s="17" t="inlineStr">
        <is>
          <t>✓</t>
        </is>
      </c>
      <c r="N15" s="17" t="inlineStr">
        <is>
          <t>NA</t>
        </is>
      </c>
      <c r="O15" s="17" t="inlineStr">
        <is>
          <t>✗</t>
        </is>
      </c>
      <c r="P15" s="17" t="inlineStr">
        <is>
          <t>✓</t>
        </is>
      </c>
      <c r="Q15" s="17" t="inlineStr">
        <is>
          <t>✓</t>
        </is>
      </c>
      <c r="R15" s="17" t="inlineStr">
        <is>
          <t>✓</t>
        </is>
      </c>
      <c r="S15" s="17" t="inlineStr">
        <is>
          <t>Passed after modification</t>
        </is>
      </c>
      <c r="T15" s="19" t="inlineStr">
        <is>
          <t>Check whether the pruning distance, tool disinfection and handling of prunings are stated explicitly in the NZ source; do not generalise trial recommendations.</t>
        </is>
      </c>
      <c r="U15" s="17" t="inlineStr">
        <is>
          <t>Wenyu Wu</t>
        </is>
      </c>
      <c r="V15" s="10" t="n"/>
    </row>
    <row r="16" ht="150" customHeight="1">
      <c r="A16" s="6" t="inlineStr">
        <is>
          <t>T038</t>
        </is>
      </c>
      <c r="B16" s="6" t="inlineStr">
        <is>
          <t>conditions_risk</t>
        </is>
      </c>
      <c r="C16" s="6" t="inlineStr">
        <is>
          <t>New Zealand</t>
        </is>
      </c>
      <c r="D16" s="6" t="inlineStr">
        <is>
          <t>answerable</t>
        </is>
      </c>
      <c r="E16" s="6" t="inlineStr">
        <is>
          <t>I'm in Hawke's Bay, New Zealand. When is the fire blight risk highest and how do I know when to act?</t>
        </is>
      </c>
      <c r="F16" s="6"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G16" s="6" t="inlineStr">
        <is>
          <t>• risk is highest during blossom when temperatures exceed about 16°C
• most infection events occur in late bloom/after petal fall; secondary blooms are at risk
• use a weather-based risk model plus orchard factors
• monitor and remove strikes</t>
        </is>
      </c>
      <c r="H16" s="6" t="inlineStr">
        <is>
          <t>• recommends routine early-bloom sprays regardless of risk
• presents US temperature thresholds as NZ guidance</t>
        </is>
      </c>
      <c r="I16" s="6" t="inlineStr"/>
      <c r="J16" s="6" t="inlineStr">
        <is>
          <t>[S265:web:2 | Fireblight | Timing of expression | New Zealand | date unknown]
[S265:web:1 | Fireblight | Damage | New Zealand | date unknown]
[P18341c3865d73ea0:p1:c1 | Applications of the MARYBLYT computer model for identifying infection risk for fire blight of apple | Abstract – dated research findings | New Zealand - Hawke’s Bay and Waikato | date 1996]
[P18341c3865d73ea0:p4:c1 | Applications of the MARYBLYT computer model for identifying infection risk for fire blight of apple | Discussion/conclusion – dated experimental context | New Zealand - Hawke’s Bay and Waikato | date 1996]
[S265:web:4 | Fireblight | Cultural control | New Zealand | date unknown]
[S265:web:3 | Fireblight | Management principles | New Zealand | date unknown]
[passage text omitted for copyright; see the chunk ids above and data/registers/source_register.json]</t>
        </is>
      </c>
      <c r="K16" s="14" t="inlineStr">
        <is>
          <t>https://www.hortinfo.co.nz/textfiles/pdh219_59.htm
https://journal.nzpps.org/index.php/pnzppc/article/view/11432</t>
        </is>
      </c>
      <c r="L16" s="6" t="inlineStr">
        <is>
          <t>Retrieval rank of cited passage: 2
#1 S015:web:18 (0.751)Fire Blight of Apple and Pear | Temperature Risk Models
#2 Pc857494577bd34fb:p19:c1 (0.715)Apple IPM for Beginners | Fire blight: concern and cycle
#3 Pbb050e80247f328d:p39:c2 (0.712)IPM Manual for Minnesota Apple Orchards | Historical Minnesota fire blight cultural control; product sentence excluded
#4 S015:web:19 (0.711)Fire Blight of Apple and Pear | Chemical Control Programs
[passage text omitted for copyright; see the chunk ids above and data/registers/source_register.json]</t>
        </is>
      </c>
      <c r="M16" s="17" t="inlineStr">
        <is>
          <t>✓</t>
        </is>
      </c>
      <c r="N16" s="17" t="inlineStr">
        <is>
          <t>✓</t>
        </is>
      </c>
      <c r="O16" s="17" t="inlineStr">
        <is>
          <t>✓</t>
        </is>
      </c>
      <c r="P16" s="17" t="inlineStr">
        <is>
          <t>✓</t>
        </is>
      </c>
      <c r="Q16" s="17" t="inlineStr">
        <is>
          <t>✓</t>
        </is>
      </c>
      <c r="R16" s="17" t="inlineStr">
        <is>
          <t>✓</t>
        </is>
      </c>
      <c r="S16" s="17" t="inlineStr">
        <is>
          <t>Passed</t>
        </is>
      </c>
      <c r="T16" s="19" t="n"/>
      <c r="U16" s="17" t="inlineStr">
        <is>
          <t>Wenyu Wu</t>
        </is>
      </c>
      <c r="V16" s="10" t="n"/>
    </row>
    <row r="17" ht="150" customHeight="1">
      <c r="A17" s="6" t="inlineStr">
        <is>
          <t>T043</t>
        </is>
      </c>
      <c r="B17" s="6" t="inlineStr">
        <is>
          <t>boundary_insufficient</t>
        </is>
      </c>
      <c r="C17" s="6" t="inlineStr">
        <is>
          <t>New Zealand</t>
        </is>
      </c>
      <c r="D17" s="6" t="inlineStr">
        <is>
          <t>unanswerable</t>
        </is>
      </c>
      <c r="E17" s="6" t="inlineStr">
        <is>
          <t>I'm in New Zealand and some apple leaves have pale mosaic patterns. Is this apple mosaic virus and how is it managed?</t>
        </is>
      </c>
      <c r="F17" s="6" t="inlineStr">
        <is>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is>
      </c>
      <c r="G17" s="6" t="inlineStr">
        <is>
          <t>• does not confirm apple mosaic virus from the description alone (suggests testing or expert diagnosis)
• notes that other causes can produce similar leaf patterns
• does not present management advice as verified New Zealand guidance</t>
        </is>
      </c>
      <c r="H17" s="6" t="inlineStr">
        <is>
          <t>• confirms apple mosaic virus definitively from the description
• attributes the patterns to another pest without any caveat</t>
        </is>
      </c>
      <c r="I17" s="6" t="inlineStr">
        <is>
          <t>Decline everything: the corpus has no apple mosaic material</t>
        </is>
      </c>
      <c r="J17" s="6" t="inlineStr">
        <is>
          <t>[passage text omitted for copyright; see the chunk ids above and data/registers/source_register.json]</t>
        </is>
      </c>
      <c r="K17" s="6" t="inlineStr"/>
      <c r="L17" s="6" t="inlineStr">
        <is>
          <t>cited passage not in the top 6
#1 Pc857494577bd34fb:p24:c1 (0.745)Apple IPM for Beginners | Apple rust diseases
#2 S212:web:2 (0.738)Apple Diseases - Fruit Rots, Control at Apple Harvest (and Postharvest) | Necrotic Leaf Blotch vs. Gomerella Leaf Spot
#3 P86663e8e7add6d5b:p1:c1 (0.737)Seasonal wound presence and susceptibility to Neonectria ditissima infection in New Zealand apple trees | Abstract – dated research findings
#4 P86663e8e7add6d5b:p6:c3 (0.735)Seasonal wound presence and susceptibility to Neonectria ditissima infection in New Zealand apple trees | Discussion/conclusion – dated experimental context
#5 P882f31f1ac437ffe:p1:c1 (0.731)Mapping European canker spatial pattern and disease progression in apples using GIS, Tasman, New Zealand | Abstract – dated research findings
#6 P86663e8e7add6d5b:p7:c1 (0.731)Seasonal wound presence and susceptibility to Neonectria ditissima infection in New Zealand apple trees | Discussion/conclusion – dated experimental context
[passage text omitted for copyright; see the chunk ids above and data/registers/source_register.json]</t>
        </is>
      </c>
      <c r="M17" s="17" t="inlineStr">
        <is>
          <t>✓</t>
        </is>
      </c>
      <c r="N17" s="17" t="inlineStr">
        <is>
          <t>NA</t>
        </is>
      </c>
      <c r="O17" s="17" t="inlineStr">
        <is>
          <t>✓</t>
        </is>
      </c>
      <c r="P17" s="17" t="inlineStr">
        <is>
          <t>✓</t>
        </is>
      </c>
      <c r="Q17" s="17" t="inlineStr">
        <is>
          <t>✓</t>
        </is>
      </c>
      <c r="R17" s="17" t="inlineStr">
        <is>
          <t>✓</t>
        </is>
      </c>
      <c r="S17" s="17" t="inlineStr">
        <is>
          <t>Passed</t>
        </is>
      </c>
      <c r="T17" s="19" t="n"/>
      <c r="U17" s="17" t="inlineStr">
        <is>
          <t>Wenyu Wu</t>
        </is>
      </c>
      <c r="V17" s="10" t="n"/>
    </row>
    <row r="18" ht="150" customHeight="1">
      <c r="A18" s="6" t="inlineStr">
        <is>
          <t>T044</t>
        </is>
      </c>
      <c r="B18" s="6" t="inlineStr">
        <is>
          <t>management_strategy</t>
        </is>
      </c>
      <c r="C18" s="6" t="inlineStr">
        <is>
          <t>New Zealand</t>
        </is>
      </c>
      <c r="D18" s="6" t="inlineStr">
        <is>
          <t>answerable</t>
        </is>
      </c>
      <c r="E18" s="6" t="inlineStr">
        <is>
          <t>I'm an organic grower in New Zealand. What can I use against powdery mildew?</t>
        </is>
      </c>
      <c r="F18" s="6" t="inlineStr">
        <is>
          <t>New Zealand trials give limited options. In field trials (1996), baking soda gave only slight powdery mildew control, improved by adding mineral oil, while slaked lime did not control powdery mildew (and may harm predatory mites); oil alone did not appear fungicidal; these alternatives were less effective than conventional fungicides. In glasshouse trials on Royal Gala seedlings (2011), weekly anhydrous milk fat and soybean oil sprays reduced mildew comparably to sulphur, but field testing was still needed. Pruning out infected shoots also reduces mildew (UC IPM).</t>
        </is>
      </c>
      <c r="G18" s="6" t="inlineStr">
        <is>
          <t>• baking soda gave slight control, improved with mineral oil (NZ field trial)
• slaked lime does not control powdery mildew
• milk fat/soybean oil worked in glasshouse only; field untested
• alternatives less effective than conventional fungicides</t>
        </is>
      </c>
      <c r="H18" s="6" t="inlineStr">
        <is>
          <t>• presents glasshouse results as proven field control
• recommends slaked lime for powdery mildew</t>
        </is>
      </c>
      <c r="I18" s="6" t="inlineStr"/>
      <c r="J18" s="6" t="inlineStr">
        <is>
          <t>[P6b24c75c81538249:p1:c1 | Slaked lime, baking soda and mineral oil for blackspot and powdery mildew control in apples | Abstract – dated research findings | New Zealand - Hawke’s Bay, Nelson, Canterbury and Otago | date 1996]
[P6b24c75c81538249:p7:c1 | Slaked lime, baking soda and mineral oil for blackspot and powdery mildew control in apples | Discussion/conclusion – dated experimental context | New Zealand - Hawke’s Bay, Nelson, Canterbury and Otago | date 1996]
[P93502a866cffdf0e:p1:c1 | Control of powdery mildew (Podosphaera leucotricha) on apple seedlings using anhydrous milk fat and soybean oil emulsions | Abstract – dated research findings | New Zealand - controlled apple-seedling glasshouse trials | date 2011]
[P93502a866cffdf0e:p7:c1 | Control of powdery mildew (Podosphaera leucotricha) on apple seedlings using anhydrous milk fat and soybean oil emulsions | Discussion/conclusion – dated experimental context | New Zealand - controlled apple-seedling glasshouse trials | date 2011]
[S003:web:3 | Powdery Mildew | Management | United States - California | date Text Updated: 03/09; Treatment Table Updated: 10/15]
[passage text omitted for copyright; see the chunk ids above and data/registers/source_register.json]</t>
        </is>
      </c>
      <c r="K18" s="18" t="inlineStr">
        <is>
          <t>https://journal.nzpps.org/index.php/pnzppc/article/view/11434
https://journal.nzpps.org/index.php/nzpp/article/view/5982
https://ipm.ucanr.edu/agriculture/apple/powdery-mildew/</t>
        </is>
      </c>
      <c r="L18" s="6" t="inlineStr">
        <is>
          <t>Retrieval rank of cited passage: 4
#1 S014:web:18 (0.785)Apple Powdery Mildew | Table 2 Fungicides registered to control of powdery mildews in conventional orchards.
#2 S003:web:4 (0.765)Powdery Mildew | Organically Acceptable Methods
#3 S267:web:2 (0.752)Qo inhibitor fungicide resistance management strategy | Resistance prevention strategy
#4 S003:web:5 (0.742)Powdery Mildew | Treatment Decisions
#5 S014:web:16 (0.741)Apple Powdery Mildew | Chemical Controls
[passage text omitted for copyright; see the chunk ids above and data/registers/source_register.json]</t>
        </is>
      </c>
      <c r="M18" s="17" t="inlineStr">
        <is>
          <t>✓</t>
        </is>
      </c>
      <c r="N18" s="17" t="inlineStr">
        <is>
          <t>NA</t>
        </is>
      </c>
      <c r="O18" s="17" t="inlineStr">
        <is>
          <t>✗</t>
        </is>
      </c>
      <c r="P18" s="17" t="inlineStr">
        <is>
          <t>✓</t>
        </is>
      </c>
      <c r="Q18" s="17" t="inlineStr">
        <is>
          <t>✓</t>
        </is>
      </c>
      <c r="R18" s="17" t="inlineStr">
        <is>
          <t>✓</t>
        </is>
      </c>
      <c r="S18" s="17" t="inlineStr">
        <is>
          <t>Passed after modification</t>
        </is>
      </c>
      <c r="T18" s="19" t="inlineStr">
        <is>
          <t>Limit the 1996 NZ trial findings to the trial formulation and conditions; do not present the small effect of sodium bicarbonate as a general recommendation.</t>
        </is>
      </c>
      <c r="U18" s="17" t="inlineStr">
        <is>
          <t>Wenyu Wu</t>
        </is>
      </c>
      <c r="V18" s="10" t="n"/>
    </row>
    <row r="19" ht="150" customHeight="1">
      <c r="A19" s="6" t="inlineStr">
        <is>
          <t>T046</t>
        </is>
      </c>
      <c r="B19" s="6" t="inlineStr">
        <is>
          <t>postharvest</t>
        </is>
      </c>
      <c r="C19" s="6" t="inlineStr">
        <is>
          <t>unspecified</t>
        </is>
      </c>
      <c r="D19" s="6" t="inlineStr">
        <is>
          <t>answerable</t>
        </is>
      </c>
      <c r="E19" s="6" t="inlineStr">
        <is>
          <t>My stored apples have a spongy rot that turns black, with brown-black specks around the lenticels. What could it be?</t>
        </is>
      </c>
      <c r="F19" s="6"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G19" s="6" t="inlineStr">
        <is>
          <t>• identifies speck rot (Phacidiopycnis)
• spongy rot turning black; specks at lenticels
• distinguishes from gray mold
• orchard infection; crabapple pollinizers as inoculum; fungicides</t>
        </is>
      </c>
      <c r="H19" s="6" t="inlineStr">
        <is>
          <t>• diagnoses blue mold
• says infection happens only in storage</t>
        </is>
      </c>
      <c r="I19" s="6" t="inlineStr"/>
      <c r="J19" s="6" t="inlineStr">
        <is>
          <t>[S075:web:3 | Phacidiopycnis Rot | Symptoms | United States - Pacific Northwest | date By Achour Amiri, WSU Plant Pathology. Updated April 2020. Downloadable pdf Phacidiopycnis; Updated April 2020]
[Pe09a620710faea85:p1:c1 | Phacidiopycnis Rots: Apple Speck Rot and Pear Phacidiopycnis Rot | Apple speck rot: causal organism and symptoms | United States - Pacific Northwest | date 2020-04]
[S075:web:2 | Phacidiopycnis Rot | Casual Organism | United States - Pacific Northwest | date By Achour Amiri, WSU Plant Pathology. Updated April 2020. Downloadable pdf Phacidiopycnis; Updated April 2020]
[Pe09a620710faea85:p2:c1 | Phacidiopycnis Rots: Apple Speck Rot and Pear Phacidiopycnis Rot | Apple P. washingtonensis infection cycle | United States - Pacific Northwest | date 2020-04]
[Pe09a620710faea85:p4:c1 | Phacidiopycnis Rots: Apple Speck Rot and Pear Phacidiopycnis Rot | Apple/crabapple inoculum and cultural control | United States - Pacific Northwest | date 2020-04]
[S075:web:12 | Phacidiopycnis Rot | Chemical Controls | United States - Pacific Northwest | date By Achour Amiri, WSU Plant Pathology. Updated April 2020. Downloadable pdf Phacidiopycnis; Updated April 2020]
[passage text omitted for copyright; see the chunk ids above and data/registers/source_register.json]</t>
        </is>
      </c>
      <c r="K19" s="18" t="inlineStr">
        <is>
          <t>https://treefruit.wsu.edu/crop-protection/disease-management/phacidiopycnis-rot/
https://s3.us-west-2.amazonaws.com/treefruit.wsu.edu/wp-content/uploads/2020/04/15154246/Phacidiopycnis-2020.04.15.pdf</t>
        </is>
      </c>
      <c r="L19" s="6" t="inlineStr">
        <is>
          <t>Retrieval rank of cited passage: 1
#1 S185:web:1 (0.792)Fact Sheet: White Rot | What is White Rot?
#2 S178:web:1 (0.773)Fact Sheet: Sooty Blotch and Fly Speck | Overview
#3 S248:web:2 (0.770)Pome Fruit Disease - Black Rot and Frogeye Leaf Spot | Symptoms
#4 S212:web:2 (0.764)Apple Diseases - Fruit Rots, Control at Apple Harvest (and Postharvest) | Necrotic Leaf Blotch vs. Gomerella Leaf Spot
[passage text omitted for copyright; see the chunk ids above and data/registers/source_register.json]</t>
        </is>
      </c>
      <c r="M19" s="17" t="inlineStr">
        <is>
          <t>✓</t>
        </is>
      </c>
      <c r="N19" s="17" t="inlineStr">
        <is>
          <t>NA</t>
        </is>
      </c>
      <c r="O19" s="17" t="inlineStr">
        <is>
          <t>✓</t>
        </is>
      </c>
      <c r="P19" s="17" t="inlineStr">
        <is>
          <t>✓</t>
        </is>
      </c>
      <c r="Q19" s="17" t="inlineStr">
        <is>
          <t>✓</t>
        </is>
      </c>
      <c r="R19" s="17" t="inlineStr">
        <is>
          <t>✓</t>
        </is>
      </c>
      <c r="S19" s="17" t="inlineStr">
        <is>
          <t>Passed</t>
        </is>
      </c>
      <c r="T19" s="19" t="n"/>
      <c r="U19" s="17" t="inlineStr">
        <is>
          <t>Wenyu Wu</t>
        </is>
      </c>
      <c r="V19" s="10" t="n"/>
    </row>
    <row r="20" ht="150" customHeight="1">
      <c r="A20" s="6" t="inlineStr">
        <is>
          <t>T048</t>
        </is>
      </c>
      <c r="B20" s="6" t="inlineStr">
        <is>
          <t>boundary_insufficient</t>
        </is>
      </c>
      <c r="C20" s="6" t="inlineStr">
        <is>
          <t>New Zealand</t>
        </is>
      </c>
      <c r="D20" s="6" t="inlineStr">
        <is>
          <t>partial</t>
        </is>
      </c>
      <c r="E20" s="6" t="inlineStr">
        <is>
          <t>I'm in New Zealand. My apple leaves have small dark spots and I've heard about Elsinoe leaf spot. Could that be it, and what works against it?</t>
        </is>
      </c>
      <c r="F20" s="6"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G20" s="6"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H20" s="6" t="inlineStr">
        <is>
          <t>• confirms Elsinoe leaf spot from the description
• presents glasshouse results as field-proven</t>
        </is>
      </c>
      <c r="I20" s="6" t="inlineStr">
        <is>
          <t>Answerable: New Zealand glasshouse product trial; decline: symptom confirmation; reason: the corpus has no description of Elsinoe symptoms</t>
        </is>
      </c>
      <c r="J20" s="6" t="inlineStr">
        <is>
          <t>[P9ff1d68283b5dcb7:p1:c1 | Effect of fungicidal treatments on severity and incidence of elsinoe leaf spot of apple | Elsinoe leaf spot – glasshouse Royal Gala poster findings | New Zealand - Plant &amp; Food Research glasshouse/laboratory | date 2009]
[P9ff1d68283b5dcb7:p1:c2 | Effect of fungicidal treatments on severity and incidence of elsinoe leaf spot of apple | Elsinoe leaf spot – glasshouse pretreatment results, not field recommendations | New Zealand - Plant &amp; Food Research glasshouse/laboratory | date 2009]
[S174:web:2 | Fact Sheet: Apple Scab | What does apple scab look like? | United States | date unknown]
[S248:web:2 | Pome Fruit Disease - Black Rot and Frogeye Leaf Spot | Symptoms | United States - Pennsylvania | date June 26, 2024]
[passage text omitted for copyright; see the chunk ids above and data/registers/source_register.json]</t>
        </is>
      </c>
      <c r="K20" s="14" t="inlineStr">
        <is>
          <t>https://www.journal.nzpps.org/index.php/nzpp/article/view/4851
https://blogs.cornell.edu/applevarietydatabase/fact-sheet-apple-scab/
https://extension.psu.edu/pome-fruit-disease-black-rot-and-frogeye-leaf-spot</t>
        </is>
      </c>
      <c r="L20" s="6" t="inlineStr">
        <is>
          <t>Retrieval rank of cited passage: 1
#1 S209:web:2 (0.739)Apple Disease - Marssonina Blotch | Marssonina Blotch Symptoms on Apple Trees
#2 S001:web:1 (0.732)Apple Scab | Symptoms and Signs
#3 S250:web:2 (0.731)Pome Fruit Disease - Rust | Symptoms
#4 S210:web:1 (0.716)Apple Disease - Powdery Mildew | Overview
#5 P86663e8e7add6d5b:p7:c1 (0.715)Seasonal wound presence and susceptibility to Neonectria ditissima infection in New Zealand apple trees | Discussion/conclusion – dated experimental context
[passage text omitted for copyright; see the chunk ids above and data/registers/source_register.json]</t>
        </is>
      </c>
      <c r="M20" s="17" t="inlineStr">
        <is>
          <t>✓</t>
        </is>
      </c>
      <c r="N20" s="17" t="inlineStr">
        <is>
          <t>NA</t>
        </is>
      </c>
      <c r="O20" s="17" t="inlineStr">
        <is>
          <t>✓</t>
        </is>
      </c>
      <c r="P20" s="17" t="inlineStr">
        <is>
          <t>✓</t>
        </is>
      </c>
      <c r="Q20" s="17" t="inlineStr">
        <is>
          <t>✓</t>
        </is>
      </c>
      <c r="R20" s="17" t="inlineStr">
        <is>
          <t>✓</t>
        </is>
      </c>
      <c r="S20" s="17" t="inlineStr">
        <is>
          <t>Passed</t>
        </is>
      </c>
      <c r="T20" s="19" t="n"/>
      <c r="U20" s="17" t="inlineStr">
        <is>
          <t>Wenyu Wu</t>
        </is>
      </c>
      <c r="V20" s="10" t="n"/>
    </row>
    <row r="21" ht="150" customHeight="1">
      <c r="A21" s="6" t="inlineStr">
        <is>
          <t>T050</t>
        </is>
      </c>
      <c r="B21" s="6" t="inlineStr">
        <is>
          <t>symptoms_identification</t>
        </is>
      </c>
      <c r="C21" s="6" t="inlineStr">
        <is>
          <t>unspecified</t>
        </is>
      </c>
      <c r="D21" s="6" t="inlineStr">
        <is>
          <t>answerable</t>
        </is>
      </c>
      <c r="E21" s="6" t="inlineStr">
        <is>
          <t>Small worms are feeding just under the skin of my apples, leaving shallow trails, but they don't reach the core. What could they be?</t>
        </is>
      </c>
      <c r="F21" s="6" t="inlineStr">
        <is>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is>
      </c>
      <c r="G21" s="6" t="inlineStr">
        <is>
          <t>• identifies lesser appleworm
• shallow mines under skin, not into core
• distinguishes from codling moth and/or European apple sawfly
• usually not economic; codling moth programme controls it</t>
        </is>
      </c>
      <c r="H21" s="6" t="inlineStr">
        <is>
          <t>• identifies the larvae as codling moth
• recommends a dedicated spray programme</t>
        </is>
      </c>
      <c r="I21" s="6" t="inlineStr"/>
      <c r="J21" s="6" t="inlineStr">
        <is>
          <t>[S023:web:3 | Tree Fruit Insect Pest - Lesser Appleworm | Injury | United States - Pennsylvania | date February 25, 2026]
[S023:web:1 | Tree Fruit Insect Pest - Lesser Appleworm | Overview | United States - Pennsylvania | date February 25, 2026]
[S118:web:7 | Lesser appleworm | Damage | United States - Pacific Northwest | date by Harold R. Moffitt and Michael J. Willett, originally published 1993]
[S222:web:3 | Tree Fruit Insect Pest - European Apple Sawfly | Instars | United States - Pennsylvania | date February 25, 2026]
[S023:web:4 | Tree Fruit Insect Pest - Lesser Appleworm | Monitoring and Management | United States - Pennsylvania | date February 25, 2026]
[S118:web:10 | Lesser appleworm | Management | United States - Pacific Northwest | date by Harold R. Moffitt and Michael J. Willett, originally published 1993]
[passage text omitted for copyright; see the chunk ids above and data/registers/source_register.json]</t>
        </is>
      </c>
      <c r="K21" s="18" t="inlineStr">
        <is>
          <t>https://extension.psu.edu/tree-fruit-insect-pest-lesser-appleworm
https://treefruit.wsu.edu/crop-protection/opm/lesser-appleworm/
https://extension.psu.edu/tree-fruit-insect-pest-european-apple-sawfly</t>
        </is>
      </c>
      <c r="L21" s="6" t="inlineStr">
        <is>
          <t>Retrieval rank of cited passage: 1
#1 S022:web:4 (0.752)Tree Fruit Insect Pest - Codling Moth | Damage
#2 Pc857494577bd34fb:p30:c1 (0.749)Apple IPM for Beginners | Worms in apple fruit
#3 S211:web:2 (0.718)Apple Disease: Moldy Core | Symptoms
#4 S126:web:9 (0.717)Oriental fruit moth | Damage
[passage text omitted for copyright; see the chunk ids above and data/registers/source_register.json]</t>
        </is>
      </c>
      <c r="M21" s="17" t="inlineStr">
        <is>
          <t>✓</t>
        </is>
      </c>
      <c r="N21" s="17" t="inlineStr">
        <is>
          <t>NA</t>
        </is>
      </c>
      <c r="O21" s="17" t="inlineStr">
        <is>
          <t>✓</t>
        </is>
      </c>
      <c r="P21" s="17" t="inlineStr">
        <is>
          <t>✓</t>
        </is>
      </c>
      <c r="Q21" s="17" t="inlineStr">
        <is>
          <t>✓</t>
        </is>
      </c>
      <c r="R21" s="17" t="inlineStr">
        <is>
          <t>✓</t>
        </is>
      </c>
      <c r="S21" s="17" t="inlineStr">
        <is>
          <t>Passed</t>
        </is>
      </c>
      <c r="T21" s="19" t="n"/>
      <c r="U21" s="17" t="inlineStr">
        <is>
          <t>Wenyu Wu</t>
        </is>
      </c>
      <c r="V21" s="10"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s>
  <sheetData>
    <row r="1">
      <c r="A1" t="inlineStr">
        <is>
          <t>Reviewer</t>
        </is>
      </c>
      <c r="B1" t="inlineStr">
        <is>
          <t>Wenyu Wu</t>
        </is>
      </c>
    </row>
    <row r="2">
      <c r="A2" t="inlineStr">
        <is>
          <t>Questions</t>
        </is>
      </c>
      <c r="B2" t="n">
        <v>20</v>
      </c>
    </row>
    <row r="3">
      <c r="A3" t="inlineStr">
        <is>
          <t>Passed</t>
        </is>
      </c>
      <c r="B3">
        <f>COUNTIF(Review!S2:S21,"Passed")</f>
        <v/>
      </c>
    </row>
    <row r="4">
      <c r="A4" t="inlineStr">
        <is>
          <t>Passed after modification</t>
        </is>
      </c>
      <c r="B4">
        <f>COUNTIF(Review!S2:S21,"Passed after modification")</f>
        <v/>
      </c>
    </row>
    <row r="5">
      <c r="A5" t="inlineStr">
        <is>
          <t>Rejected</t>
        </is>
      </c>
      <c r="B5">
        <f>COUNTIF(Review!S2:S21,"Rejected")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2026-10-23T03:38:00Z</dcterms:created>
  <dcterms:modified xmlns:dcterms="http://purl.org/dc/terms/" xmlns:xsi="http://www.w3.org/2001/XMLSchema-instance" xsi:type="dcterms:W3CDTF">2026-10-30T01:57:51Z</dcterms:modified>
  <cp:lastModifiedBy>飞龙宝宝</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FEF00B86272B4661AA6C28FB77C051F3_12</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0</vt:i4>
  </property>
</Properties>
</file>