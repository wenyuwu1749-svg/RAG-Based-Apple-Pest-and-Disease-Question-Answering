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CodexWork\Working\RAG-Based-Apple-Pest-and-Disease-Question-Answering\data\eval\question_review\test_set\"/>
    </mc:Choice>
  </mc:AlternateContent>
  <bookViews>
    <workbookView windowWidth="23040" windowHeight="9060" activeTab="2"/>
  </bookViews>
  <sheets>
    <sheet name="Instructions" sheetId="3" r:id="rId1"/>
    <sheet name="Review" sheetId="1" r:id="rId2"/>
    <sheet name="Summary"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<sst xmlns="http://schemas.openxmlformats.org/spreadsheetml/2006/main" count="439" uniqueCount="215">
  <si>
    <t>Review workbook (read-only reference; make changes in the question bank workbook)</t>
  </si>
  <si>
    <t>One question per row. Left: question and reference answer; middle: cited passages and URLs; right: review columns.</t>
  </si>
  <si>
    <t>Check the reference answer sentence by sentence against the cited passages; open the original URL for full context when needed.</t>
  </si>
  <si>
    <t>Six checks, fill ✓ / ✗ / NA: 1 facts correct  2 numbers and units  3 qualifications kept  4 not beyond the source  5 required points sensible  6 question clear, no answer hints</t>
  </si>
  <si>
    <t>"Other retrieved passages" lists passages in the top 6 of vector retrieval that are not cited: if consistent with the reference answer they may be added to chunk_ids; conflicts are recorded in the change notes.</t>
  </si>
  <si>
    <t>For boundary questions, also confirm that the corpus really contains nothing that answers the "part to decline".</t>
  </si>
  <si>
    <t>Review result: Passed / Passed after modification / Rejected. For "Passed after modification", describe the change and update the question bank accordingly (keep required_points consistent with the reference answer, version + 1).</t>
  </si>
  <si>
    <t>The "Summary" sheet counts the results automatically, used in the report for the modification rate of LLM-drafted questions.</t>
  </si>
  <si>
    <t>question_id</t>
  </si>
  <si>
    <t>Question type</t>
  </si>
  <si>
    <t>Region</t>
  </si>
  <si>
    <t>Answerability</t>
  </si>
  <si>
    <t>Question</t>
  </si>
  <si>
    <t>Reference answer</t>
  </si>
  <si>
    <t>Required points</t>
  </si>
  <si>
    <t>Major errors</t>
  </si>
  <si>
    <t>Answerable / to decline</t>
  </si>
  <si>
    <t>Cited passages (text omitted)</t>
  </si>
  <si>
    <t>Original URL</t>
  </si>
  <si>
    <t>Other retrieved passages (text omitted)</t>
  </si>
  <si>
    <t>1 Facts correct</t>
  </si>
  <si>
    <t>2 Numbers and units</t>
  </si>
  <si>
    <t>3 Qualifications kept</t>
  </si>
  <si>
    <t>4 Not beyond the source</t>
  </si>
  <si>
    <t>5 Required points sensible</t>
  </si>
  <si>
    <t>6 Question clear</t>
  </si>
  <si>
    <t>Review result</t>
  </si>
  <si>
    <t>Change notes</t>
  </si>
  <si>
    <t>Reviewer</t>
  </si>
  <si>
    <t>T001</t>
  </si>
  <si>
    <t>symptoms_identification</t>
  </si>
  <si>
    <t>unspecified</t>
  </si>
  <si>
    <t>answerable</t>
  </si>
  <si>
    <t>Some leaves and young apples have dark olive-green, velvety spots, and some fruit are cracking. What is this and what should I do?</t>
  </si>
  <si>
    <t>This is apple scab (Venturia inaequalis): velvety olive-green to black spots on leaves and fruit; fruit spots become scab-like and corky, and fruit may crack and become misshapen; badly infected leaves can yellow and drop. The fungus overwinters in fallen infected leaves, and spring rains release spores that infect young leaves and fruit. Management aims to prevent primary spring infections: reduce leaf litter (shred with a flail mower or remove it; urea on leaves before or after leaf fall speeds decomposition), prune for air movement and drying, and apply protective fungicides with exact timing and full coverage during wet periods from green tip.</t>
  </si>
  <si>
    <t>• identifies apple scab
• olive-green to black velvety spots; fruit spots become scabby/corky and can crack
• overwinters in fallen leaves; spring rain infections
• reduce leaf litter, prune for drying, timed protective fungicides in wet periods</t>
  </si>
  <si>
    <t>• diagnoses powdery mildew or sooty blotch
• recommends only summer treatment and ignores primary spring infection</t>
  </si>
  <si>
    <t/>
  </si>
  <si>
    <t>[S001:web:1 | Apple Scab | Symptoms and Signs | United States - California | date Text Updated: 10/15; Treatment Table Updated: 10/15]
[S174:web:2 | Fact Sheet: Apple Scab | What does apple scab look like? | United States | date unknown]
[Pac2f744e6d94a879:p19:c1 | Crop Profile for Apple in Canada, 2022 (Sixth Edition, 2023) | Apple Scab (Venturia inaequalis); biology/cultural management, Canada 2023 | Canada | date 2023]
[S001:web:2 | Apple Scab | Comments on the Disease | United States - California | date Text Updated: 10/15; Treatment Table Updated: 10/15]
[S001:web:3 | Apple Scab | Management | United States - California | date Text Updated: 10/15; Treatment Table Updated: 10/15]
[S001:web:26 | Apple Scab | Treatment Decisions | United States - California | date Text Updated: 10/15; Treatment Table Updated: 10/15]
[S174:web:5 | Fact Sheet: Apple Scab | How do I prevent and control apple scab? | United States | date unknown]
[Pac2f744e6d94a879:p19:c2 | Crop Profile for Apple in Canada, 2022 (Sixth Edition, 2023) | Apple Scab (Venturia inaequalis); biology/cultural management, Canada 2023 | Canada | date 2023]
[passage text omitted for copyright; see the chunk ids above and data/registers/source_register.json]</t>
  </si>
  <si>
    <t>https://ipm.ucanr.edu/agriculture/apple/apple-scab/
https://blogs.cornell.edu/applevarietydatabase/fact-sheet-apple-scab/
https://publications.gc.ca/collections/collection_2023/aac-aafc/A118-10-7-2022-eng.pdf</t>
  </si>
  <si>
    <t>Retrieval rank of cited passage: 1
#1 S209:web:2 (0.757)Apple Disease - Marssonina Blotch | Marssonina Blotch Symptoms on Apple Trees
#2 S250:web:2 (0.745)Pome Fruit Disease - Rust | Symptoms
#3 S212:web:2 (0.734)Apple Diseases - Fruit Rots, Control at Apple Harvest (and Postharvest) | Necrotic Leaf Blotch vs. Gomerella Leaf Spot
#4 S248:web:2 (0.728)Pome Fruit Disease - Black Rot and Frogeye Leaf Spot | Symptoms
[passage text omitted for copyright; see the chunk ids above and data/registers/source_register.json]</t>
  </si>
  <si>
    <t>✓</t>
  </si>
  <si>
    <t>NA</t>
  </si>
  <si>
    <t>Passed</t>
  </si>
  <si>
    <t>Wenyu Wu</t>
  </si>
  <si>
    <t>T004</t>
  </si>
  <si>
    <t>Some apples have tiny shallow holes like pin pricks with a little dead tissue, but no worm inside. What is causing this?</t>
  </si>
  <si>
    <t>These are codling moth stings: small, shallow pin-prick holes with a little dead tissue, made by young larvae that bored a short distance into the fruit and died (often after being poisoned by insecticide). By contrast, deep entries are tunnels to the core with frass at the entry hole and a live larva feeding on the seeds. Stings lower fruit value from fresh market to processing grade, so they indicate codling moth pressure that needs properly timed control.</t>
  </si>
  <si>
    <t>• identifies codling moth stings
• young larvae entered a short distance and died
• contrast with deep entries (tunnel to core, frass)
• stings downgrade fruit and indicate codling moth pressure</t>
  </si>
  <si>
    <t>• attributes the holes to apple maggot or hail without considering codling moth</t>
  </si>
  <si>
    <t>[S022:web:4 | Tree Fruit Insect Pest - Codling Moth | Damage | United States - Pennsylvania | date February 25, 2026]
[S006:web:2 | Codling Moth | Damage | United States - California | date Text Updated: 12/09; Treatment Table Updated: 10/15]
[passage text omitted for copyright; see the chunk ids above and data/registers/source_register.json]</t>
  </si>
  <si>
    <t>https://extension.psu.edu/tree-fruit-insect-pest-codling-moth
https://ipm.ucanr.edu/agriculture/apple/codling-moth/</t>
  </si>
  <si>
    <t>Retrieval rank of cited passage: 1
#1 S023:web:3 (0.740)Tree Fruit Insect Pest - Lesser Appleworm | Injury
#2 S211:web:2 (0.732)Apple Disease: Moldy Core | Symptoms
#3 Pc857494577bd34fb:p30:c1 (0.726)Apple IPM for Beginners | Worms in apple fruit
#4 S211:web:1 (0.722)Apple Disease: Moldy Core | Overview
[passage text omitted for copyright; see the chunk ids above and data/registers/source_register.json]</t>
  </si>
  <si>
    <t>T008</t>
  </si>
  <si>
    <t>My apple leaves have winding or blotchy mines inside them. What is causing this and does it need treatment?</t>
  </si>
  <si>
    <t>These are leafminer larvae feeding inside the leaf: early (sap-feeding) larvae make snake-like mines visible from the underside, later tissue-feeding larvae make tent-like blotch mines and the upper leaf surface looks light and spotted. Low populations occur in most orchards and are usually kept down by parasitic wasps; they become pests mainly when broad-spectrum sprays disrupt these parasites. Treatment depends on mine counts and parasitism: UC IPM treats only when leaves average more than five mines per leaf, or when parasitism is low; WSU found no fruit impact below about two tissue-feeding mines per leaf in the second generation. Penn State notes apple leafminer has not caused economic injury.</t>
  </si>
  <si>
    <t>• identifies leafminer mines
• usually controlled by parasitoids; outbreaks follow broad-spectrum sprays
• treat only above thresholds considering parasitism (e.g. more than 5 mines per leaf)
• often no treatment needed</t>
  </si>
  <si>
    <t>• recommends routine spraying for any mines
• identifies the damage as a disease</t>
  </si>
  <si>
    <t>[S048:web:1 | Leafminers | Description of the Pest | United States - California | date Text Updated: 03/09; Treatment Table Updated: 10/15]
[S048:web:2 | Leafminers | Damage | United States - California | date Text Updated: 03/09; Treatment Table Updated: 10/15]
[S048:web:3 | Leafminers | Management | United States - California | date Text Updated: 03/09; Treatment Table Updated: 10/15]
[S048:web:6 | Leafminers | Monitoring and Treatment Decisions | United States - California | date Text Updated: 03/09; Treatment Table Updated: 10/15]
[S157:web:10 | Western tentiform leafminer | Damage | United States - Pacific Northwest | date by Elizabeth H. Beers, Jay F. Brunner, and Bruce A. Barrett, originally published 1993; revised December 2007; revised December 2007]
[S157:web:11 | Western tentiform leafminer | Biological control | United States - Pacific Northwest | date by Elizabeth H. Beers, Jay F. Brunner, and Bruce A. Barrett, originally published 1993; revised December 2007; revised December 2007]
[S217:web:1 | Tree Fruit Insect Pest - Apple Leafminer | Overview | United States - Pennsylvania | date February 25, 2026]
[passage text omitted for copyright; see the chunk ids above and data/registers/source_register.json]</t>
  </si>
  <si>
    <t>https://ipm.ucanr.edu/agriculture/apple/leafminers/
https://treefruit.wsu.edu/crop-protection/opm/western-tentiform-leafminer/
https://extension.psu.edu/tree-fruit-insect-pest-apple-leafminer</t>
  </si>
  <si>
    <t>Retrieval rank of cited passage: 5
#1 S212:web:2 (0.748)Apple Diseases - Fruit Rots, Control at Apple Harvest (and Postharvest) | Necrotic Leaf Blotch vs. Gomerella Leaf Spot
#2 S217:web:2 (0.748)Tree Fruit Insect Pest - Apple Leafminer | Description and Life Cycle
#3 S087:web:10 (0.742)Apple leafcurling midge | Monitoring
#4 Pac2f744e6d94a879:p23:c1 (0.741)Crop Profile for Apple in Canada, 2022 (Sixth Edition, 2023) | Bitter Rot and Glomerella Leaf Blotch (Colletotrichum spp.); biology/cultural management, Canada 2023
#5 S089:web:7 (0.735)Apple rust mite | Damage
[passage text omitted for copyright; see the chunk ids above and data/registers/source_register.json]</t>
  </si>
  <si>
    <t>T011</t>
  </si>
  <si>
    <t>My apples have small dimpled spots, and under the skin the flesh is hard, brown and pithy. What could cause this?</t>
  </si>
  <si>
    <t>This fits stink bug feeding, including brown marmorated stink bug: the bug injects enzymes and sucks juice, leaving a tiny puncture; the flesh under the skin becomes hard and pithy, and on apples a brownish depression forms around the feeding site. Damage may not be obvious at once and often becomes clearer in storage. The bugs move in from orchard borders and nearby crops or woods, so damage is often concentrated at edges. Brown marmorated stink bug damage looks the same as that of native stink bugs.</t>
  </si>
  <si>
    <t>• identifies stink bug feeding (e.g. brown marmorated stink bug)
• tiny puncture, depressed spot, hard pithy flesh beneath
• damage may develop over time/in storage
• border-invading pest; damage concentrated at orchard edges</t>
  </si>
  <si>
    <t>• diagnoses a fungal rot or codling moth</t>
  </si>
  <si>
    <t>[S093:web:10 | Brown marmorated stink bug | Damage | United States - Pacific Northwest | date Elizabeth H. Beers and Adrian T. Marshall, published online September 2017. Updated 2017 Betsy Beers.]
[S069:web:12 | Brown Marmorated Stink Bug Provisional Guidelines for Apple | DAMAGE | United States - California | date unknown]
[S144:web:12 | Stink bugs | Peaches | United States - Pacific Northwest | date by T. W. Anthon &amp; Elizabeth H. Beers originally published 1993; revised December 2007 by Christian Krupke; revised December 2007]
[S093:web:15 | Brown marmorated stink bug | Management | United States - Pacific Northwest | date Elizabeth H. Beers and Adrian T. Marshall, published online September 2017. Updated 2017 Betsy Beers.]
[passage text omitted for copyright; see the chunk ids above and data/registers/source_register.json]</t>
  </si>
  <si>
    <t>https://treefruit.wsu.edu/crop-protection/opm/brown-marmorated-stink-bug/
http://ipm.ucanr.edu/PMG/r4302711.html
https://treefruit.wsu.edu/crop-protection/opm/stink-bugs/</t>
  </si>
  <si>
    <t>cited passage not in the top 6
#1 S001:web:1 (0.784)Apple Scab | Symptoms and Signs
#2 S174:web:2 (0.731)Fact Sheet: Apple Scab | What does apple scab look like?
#3 S208:web:2 (0.729)Apple Disease - Core Rot | Symptoms
#4 S211:web:1 (0.723)Apple Disease: Moldy Core | Overview
#5 S072:web:7 (0.719)Apple Anthracnose | Bull’s-eye Rot
#6 Pfad1d86df7e72095:p3:c1 (0.716)Apple Anthracnose | Apple anthracnose: symptoms, cycle and cultural management
[passage text omitted for copyright; see the chunk ids above and data/registers/source_register.json]</t>
  </si>
  <si>
    <t>T014</t>
  </si>
  <si>
    <t>My apple leaves have bright yellow-orange spots on top in spring. What is it?</t>
  </si>
  <si>
    <t>This is cedar-apple rust: bright yellow-orange spots on the upper leaf surface, often with a red ring, tiny black pycnia in the spots, and later raised structures (aecia) on the underside; infected fruit can be disfigured. The fungus needs eastern red cedar or juniper as an alternate host, where it forms galls with orange horns in wet spring weather. Once lesions are visible it is too late for control this season; prevention is removing nearby cedars, choosing resistant cultivars, and Penn State lists protective sprays (including mancozeb) from pink bud through first cover.</t>
  </si>
  <si>
    <t>• identifies cedar-apple rust
• yellow-orange leaf spots with black pycnia; aecia below
• needs cedar/juniper alternate host
• too late once visible; remove cedars, resistant cultivars, protective sprays</t>
  </si>
  <si>
    <t>• diagnoses apple scab or a nutrient deficiency
• recommends spraying now to cure visible spots</t>
  </si>
  <si>
    <t>[S176:web:1 | Fact Sheet: Cedar Apple Rust | Overview | United States | date unknown]
[S250:web:2 | Pome Fruit Disease - Rust | Symptoms | United States - Pennsylvania | date June 26, 2024]
[S176:web:2 | Fact Sheet: Cedar Apple Rust | Overview | United States | date unknown]
[S250:web:4 | Pome Fruit Disease - Rust | Disease management | United States - Pennsylvania | date June 26, 2024]
[S250:web:1 | Pome Fruit Disease - Rust | Overview | United States - Pennsylvania | date June 26, 2024]
[passage text omitted for copyright; see the chunk ids above and data/registers/source_register.json]</t>
  </si>
  <si>
    <t>https://blogs.cornell.edu/applevarietydatabase/factsheet-cedar-apple-rust/
https://extension.psu.edu/pome-fruit-disease-rust</t>
  </si>
  <si>
    <t>Retrieval rank of cited passage: 1
#1 S086:web:1 (0.716)Apple grain aphid | Rhopalosiphum insertum (Walker) [= fitchii (Sanderson)] (Homoptera: Aphididae)
#2 S001:web:1 (0.714)Apple Scab | Symptoms and Signs
#3 S209:web:2 (0.710)Apple Disease - Marssonina Blotch | Marssonina Blotch Symptoms on Apple Trees
#4 S010:web:1 (0.707)Rosy Apple Aphid | Description of the Pest
#5 S003:web:2 (0.705)Powdery Mildew | Comments on the Disease
[passage text omitted for copyright; see the chunk ids above and data/registers/source_register.json]</t>
  </si>
  <si>
    <t>T017</t>
  </si>
  <si>
    <t>My young nursery apple trees have rough, lumpy galls on the roots and at the base of the trunk. What is it?</t>
  </si>
  <si>
    <t>One likely cause is crown gall (Agrobacterium tumefaciens): wart-like swellings on roots, crown and trunk, lighter when young and darker when old, cracking the bark and, when large, causing decline. The bacterium lives in soil and enters through wounds or grafting. Woolly apple aphid also causes swellings (galls) on roots, with white waxy aphid colonies present, so check for the aphids. For crown gall, plant certified gall-free rootstock, remove and destroy badly affected trees, and manage weeds; antibiotic sprays are not recommended.</t>
  </si>
  <si>
    <t>• suggests crown gall
• considers woolly apple aphid root galls as an alternative and how to tell (waxy aphids)
• enters through wounds/grafting from soil
• certified clean stock, remove infected trees; no antibiotic sprays</t>
  </si>
  <si>
    <t>• recommends antibiotic sprays as the main control
• diagnoses a fungal canker</t>
  </si>
  <si>
    <t>[S183:web:2 | Fact Sheet: Crown Gall | What does Apple Crown Gall look like? | United States | date unknown]
[S183:web:3 | Fact Sheet: Crown Gall | Where does Apple Crown Gall come from? | United States | date unknown]
[S183:web:4 | Fact Sheet: Crown Gall | How do I prevent and control Apple Crown Gall? | United States | date unknown]
[S020:web:6 | Woolly Apple Aphid | Damage | United States - Pacific Northwest | date by Elizabeth H. Beers, Stanley C. Hoyt, and Michael J. Willett, originally published 1993; revised March 2010 E. Beers; and June 2019 Robert J. Orpet.; revised March 2010]
[S244:web:2 | Tree Fruit Insect Pest - Woolly Apple Aphid | Description and Life Cycle | United States - Pennsylvania | date January 5, 2024]
[passage text omitted for copyright; see the chunk ids above and data/registers/source_register.json]</t>
  </si>
  <si>
    <t>https://blogs.cornell.edu/applevarietydatabase/fact-sheet-crown-gall/
https://treefruit.wsu.edu/crop-protection/opm/woolly-apple-aphid/
https://extension.psu.edu/tree-fruit-insect-pest-woolly-apple-aphid</t>
  </si>
  <si>
    <t>Retrieval rank of cited passage: 3
#1 S087:web:10 (0.753)Apple leafcurling midge | Monitoring
#2 S183:web:1 (0.747)Fact Sheet: Crown Gall | What is Apple Crown Gall?
#3 S250:web:2 (0.736)Pome Fruit Disease - Rust | Symptoms
#4 S208:web:2 (0.727)Apple Disease - Core Rot | Symptoms
[passage text omitted for copyright; see the chunk ids above and data/registers/source_register.json]</t>
  </si>
  <si>
    <t>T018</t>
  </si>
  <si>
    <t>conditions_risk</t>
  </si>
  <si>
    <t>New apple trees I planted where an old orchard used to be are growing poorly and look stunted. What is wrong?</t>
  </si>
  <si>
    <t>This is typical of apple replant disease: shortly after planting the block grows unevenly with stunting and short internodes, and roots are discoloured with dead tips and reduced mass; some young trees die. It is mainly caused by a soil pathogen complex (fungi such as Rhizoctonia and Ilyonectria, oomycetes such as Pythium and Phytophthora, and lesion nematodes) built up by previous tree crops. WSU recommends tolerant rootstocks as the most important control (Geneva rootstocks are generally tolerant, Malling and Malling-Merton susceptible), planting in the old grass alleys, avoiding soil saturation, using nematode-free trees, and, where used, soil fumigation or a rotation of five years or more.</t>
  </si>
  <si>
    <t>• identifies apple replant disease
• symptoms: uneven stunted growth, damaged roots
• soil pathogen complex from previous orchard
• tolerant rootstocks (Geneva) and planting in old grass alleys</t>
  </si>
  <si>
    <t>• blames only fertiliser shortage
• recommends replanting the same rootstock in the same holes</t>
  </si>
  <si>
    <t>[S073:web:2 | Apple Replant Disease | Symptoms | United States - Pacific Northwest | date unknown]
[S073:web:3 | Apple Replant Disease | Causal Organism and Disease Cycle | United States - Pacific Northwest | date unknown]
[S073:web:8 | Apple Replant Disease | Choose tolerant rootstock | United States - Pacific Northwest | date unknown]
[S073:web:17 | Apple Replant Disease | Planting position | United States - Pacific Northwest | date unknown]
[S073:web:7 | Apple Replant Disease | Water management | United States - Pacific Northwest | date unknown]
[S073:web:5 | Apple Replant Disease | Plant nematode-free trees | United States - Pacific Northwest | date unknown]
[S073:web:6 | Apple Replant Disease | Crop rotation | United States - Pacific Northwest | date unknown]
[S073:web:18 | Apple Replant Disease | Soil fumigation | United States - Pacific Northwest | date unknown]
[passage text omitted for copyright; see the chunk ids above and data/registers/source_register.json]</t>
  </si>
  <si>
    <t>https://treefruit.wsu.edu/crop-protection/disease-management/apple-replant-disease/</t>
  </si>
  <si>
    <t>Retrieval rank of cited passage: 1
#1 S210:web:1 (0.682)Apple Disease - Powdery Mildew | Overview
#2 S266:web:1 (0.659)Apple leaf-curling midge (ALCM) | Summary
#3 Pc857494577bd34fb:p24:c1 (0.658)Apple IPM for Beginners | Apple rust diseases
#4 S001:web:1 (0.657)Apple Scab | Symptoms and Signs
[passage text omitted for copyright; see the chunk ids above and data/registers/source_register.json]</t>
  </si>
  <si>
    <t>T023</t>
  </si>
  <si>
    <t>There are white, mealy insects in the calyx end of my apples. What are they?</t>
  </si>
  <si>
    <t>These may be mealybugs, such as apple mealybug, whose females have a white waxy coating (sage-green body underneath) and can be found in the apple calyx. Woolly apple aphids can also settle in the calyx when their parasite is absent, so check whether the insects are covered in long white woolly wax. For apple mealybug WSU notes there is no formal monitoring scheme; dormant or delayed dormant sprays and treatment at crawler emergence are the vulnerable points, good coverage of bark crevices matters, and parasitoids help keep it low if not disrupted by pesticides.</t>
  </si>
  <si>
    <t>• suggests mealybugs (e.g. apple mealybug)
• considers woolly apple aphid in the calyx as an alternative
• dormant/delayed dormant or crawler-timed control; good coverage
• parasitoids help; avoid disruptive pesticides</t>
  </si>
  <si>
    <t>• identifies them as powdery mildew
• states a firm treatment threshold that the source does not give</t>
  </si>
  <si>
    <t>[S088:web:5 | Apple mealybug | Adults | United States - Pacific Northwest | date by Elizabeth H. Beers , published online December 2007]
[S088:web:8 | Apple mealybug | Damage | United States - Pacific Northwest | date by Elizabeth H. Beers , published online December 2007]
[S012:web:5 | Woolly Apple Aphid | Biological Control | United States - California | date Text Updated: 01/11; Treatment Table Updated: 10/15]
[S088:web:9 | Apple mealybug | Monitoring | United States - Pacific Northwest | date by Elizabeth H. Beers , published online December 2007]
[S088:web:11 | Apple mealybug | Management | United States - Pacific Northwest | date by Elizabeth H. Beers , published online December 2007]
[S088:web:10 | Apple mealybug | Biological Control | United States - Pacific Northwest | date by Elizabeth H. Beers , published online December 2007]
[passage text omitted for copyright; see the chunk ids above and data/registers/source_register.json]</t>
  </si>
  <si>
    <t>https://treefruit.wsu.edu/crop-protection/opm/apple-mealybug/
https://ipm.ucanr.edu/agriculture/apple/woolly-apple-aphid/</t>
  </si>
  <si>
    <t>Retrieval rank of cited passage: 4
#1 S243:web:3 (0.758)Tree Fruit Insect Pest - White Apple Leafhopper | Injury
#2 S243:web:1 (0.757)Tree Fruit Insect Pest - White Apple Leafhopper | Overview
#3 S047:web:4 (0.755)Leafhoppers | Biological Control
#4 S158:web:1 (0.751)White apple leafhopper | Typhlocyba pomaria McAtee (Homoptera: Cicadellidae)
#5 S088:web:2 (0.743)Apple mealybug | Hosts
[passage text omitted for copyright; see the chunk ids above and data/registers/source_register.json]</t>
  </si>
  <si>
    <t>T026</t>
  </si>
  <si>
    <t>management_strategy</t>
  </si>
  <si>
    <t>Part of my orchard often stays waterlogged after rain. Which apple rootstocks should I avoid there?</t>
  </si>
  <si>
    <t>Waterlogged soil favours Phytophthora root and crown rot (24 hours or more of saturated soil favours infection), so rootstock choice matters, but no rootstock is resistant to all Phytophthora species. UC IPM says MM 104 and MM 106 are generally more susceptible than M 9 and M 26. WSU rates Geneva rootstocks as most resistant, M-9 (with M-2 and M-4) as moderately susceptible, M-7 and MM-111 as moderately susceptible, M-26 and MM-106 as susceptible and MM-104 as highly susceptible; note the two sources differ on M 26. Both agree MM 104 and MM 106 are poor choices. Rootstock choice should be combined with drainage, planting on berms and avoiding standing water around crowns.</t>
  </si>
  <si>
    <t>• links waterlogging to Phytophthora risk
• avoid MM 104 and MM 106
• notes sources differ on some rootstocks (e.g. M 26); Geneva rootstocks most resistant
• no rootstock resists all species; combine with drainage and berms</t>
  </si>
  <si>
    <t>• recommends MM 106 or MM 104 for wet sites
• claims a rootstock is fully resistant</t>
  </si>
  <si>
    <t>[S005:web:2 | Phytophthora Root and Crown Rot | Management | United States - California | date Text Updated: 03/09; Treatment Table Updated: 10/15]
[S076:web:8 | Phytophthora | Choose resistant rootstock | United States - Pacific Northwest | date unknown]
[passage text omitted for copyright; see the chunk ids above and data/registers/source_register.json]</t>
  </si>
  <si>
    <t>https://ipm.ucanr.edu/agriculture/apple/phytophthora-root-and-crown-rot/
https://treefruit.wsu.edu/crop-protection/disease-management/phytophthora/</t>
  </si>
  <si>
    <t>Retrieval rank of cited passage: 6
#1 Pc857494577bd34fb:p5:c2 (0.760)Apple IPM for Beginners | Introduction
#2 S015:web:10 (0.727)Fire Blight of Apple and Pear | Plant on resistant rootstock
#3 Pc161390f1584f17e:p4:c1 (0.725)Phytophthora Crown, Collar, and Root Rot of Apple and Cherry | Apple rootstocks, soil and irrigation management
#4 S020:web:10 (0.719)Woolly Apple Aphid | Management
#5 Pc857494577bd34fb:p5:c3 (0.713)Apple IPM for Beginners | Introduction
[passage text omitted for copyright; see the chunk ids above and data/registers/source_register.json]</t>
  </si>
  <si>
    <t>✗</t>
  </si>
  <si>
    <t>Passed after modification</t>
  </si>
  <si>
    <t>State that rootstock tolerance of waterlogging also depends on soil drainage, scion and local trials; US disease susceptibility does not establish suitability in New Zealand.</t>
  </si>
  <si>
    <t>T030</t>
  </si>
  <si>
    <t>Should I protect the lady beetles and predatory mites in my orchard, and how?</t>
  </si>
  <si>
    <t>Yes. Predatory mites such as Typhlodromus pyri can keep pest mites at very low levels if they are not disrupted; the mite-eating lady beetle Stethorus helps against high mite populations but arrives late and cannot be relied on alone. Avoid sprays toxic to predators: a single pyrethroid can kill beneficial mites and stimulate red mites, and some other insecticides can cause mite flare-ups; time unavoidable sprays when predators can recover. Moderate apple rust mite populations are worth keeping as food for predators. Predatory mites can be introduced on spur leaves from orchards that have them (Penn State: May to June).</t>
  </si>
  <si>
    <t>• yes: predatory mites keep pest mites low
• lady beetles (Stethorus) help but are not reliable alone
• avoid predator-toxic sprays such as pyrethroids; mind timing
• keep moderate rust mites as food; introduce predators on spur leaves</t>
  </si>
  <si>
    <t>• recommends broad-spectrum sprays as compatible with predators
• says predators are not useful</t>
  </si>
  <si>
    <t>[S252:web:4 | Tree Fruit Mite Pest - European Red Mite | Monitoring | United States - Pennsylvania | date October 30, 2023]
[S213:web:2 | Orchard IPM - European Red Mite Biological Control | A little history... | United States - Pennsylvania | date September 22, 2025]
[S117:web:15 | Convergent lady beetle, transverse lady beetle, black lady beetle, Scymnus spp., mealybug destroyer | Stethorus picipes Casey | United States - Pacific Northwest | date unknown]
[S213:web:5 | Orchard IPM - European Red Mite Biological Control | Make sure not to wipe out beneficial mites | United States - Pennsylvania | date September 22, 2025]
[S156:web:9 | Typhlodromus occidentalis | Management | United States - Pacific Northwest | date by Stanley C. Hoyt and Elizabeth H. Beers, originally published 1993]
[S213:web:6 | Orchard IPM - European Red Mite Biological Control | How to get beneficial mites in your orchard | United States - Pennsylvania | date September 22, 2025]
[passage text omitted for copyright; see the chunk ids above and data/registers/source_register.json]</t>
  </si>
  <si>
    <t>https://extension.psu.edu/tree-fruit-mite-pest-european-red-mite
https://extension.psu.edu/orchard-ipm-european-red-mite-biological-control
https://treefruit.wsu.edu/crop-protection/opm/lady-beetles/
https://treefruit.wsu.edu/crop-protection/opm/western-predatory-mite/</t>
  </si>
  <si>
    <t>Retrieval rank of cited passage: 1
#1 S252:web:31 (0.749)Tree Fruit Mite Pest - European Red Mite | Mite Action Thresholds and Predator/Prey Ratio Calculations
[passage text omitted for copyright; see the chunk ids above and data/registers/source_register.json]</t>
  </si>
  <si>
    <t>T031</t>
  </si>
  <si>
    <t>Some apple leaves have small blisters that started green or red and are turning brown or black. What is it?</t>
  </si>
  <si>
    <t>This fits blister mites (appleleaf/pearleaf blister mite): their feeding forms small galls or blisters up to about 3 mm that are green or red at first and turn light brown to black; mites live inside the leaf blisters, and fruit damaged before bloom is scarred or deformed. They are now rare in well-managed orchards and mostly attack abandoned or neglected ones. When needed, the best timing is after harvest when mites move from leaves into buds, or pre-bloom to protect fruit; summer sprays are too late to prevent fruit damage.</t>
  </si>
  <si>
    <t>• identifies blister mites
• green/red blisters turning brown-black; fruit scarring
• rare under good IPM; mostly neglected orchards
• post-harvest or pre-bloom timing; summer too late</t>
  </si>
  <si>
    <t>• diagnoses a fungal leaf spot
• recommends summer sprays to prevent fruit damage</t>
  </si>
  <si>
    <t>[S092:web:8 | Pearleaf and appleleaf blister mite | Damage | United States - Pacific Northwest | date unknown]
[S092:web:1 | Pearleaf and appleleaf blister mite | Phytoptus mali (Burts) | United States - Pacific Northwest | date unknown]
[S092:web:7 | Pearleaf and appleleaf blister mite | Life history | United States - Pacific Northwest | date unknown]
[S092:web:11 | Pearleaf and appleleaf blister mite | Management | United States - Pacific Northwest | date unknown]
[passage text omitted for copyright; see the chunk ids above and data/registers/source_register.json]</t>
  </si>
  <si>
    <t>https://treefruit.wsu.edu/crop-protection/opm/blister-mites/</t>
  </si>
  <si>
    <t>Retrieval rank of cited passage: 2
#1 S174:web:2 (0.786)Fact Sheet: Apple Scab | What does apple scab look like?
#2 S209:web:2 (0.768)Apple Disease - Marssonina Blotch | Marssonina Blotch Symptoms on Apple Trees
#3 S001:web:1 (0.766)Apple Scab | Symptoms and Signs
#4 S248:web:2 (0.748)Pome Fruit Disease - Black Rot and Frogeye Leaf Spot | Symptoms
#5 S212:web:2 (0.738)Apple Diseases - Fruit Rots, Control at Apple Harvest (and Postharvest) | Necrotic Leaf Blotch vs. Gomerella Leaf Spot
[passage text omitted for copyright; see the chunk ids above and data/registers/source_register.json]</t>
  </si>
  <si>
    <t>T033</t>
  </si>
  <si>
    <t>partial</t>
  </si>
  <si>
    <t>Which fungicides should I worry about losing effectiveness against powdery mildew?</t>
  </si>
  <si>
    <t>The single-site groups are the concern: DMIs (FRAC 3), QoIs (FRAC 11) and SDHIs (FRAC 7) are the main registered classes for mildew besides multisite sulfur and carbonates. A New York survey (2021–2022, abstract excerpt) screened orchard populations for resistance mutations in these three groups; at that time growers had not reported control failures, though disease incidence had increased. A New Zealand study notes DMIs act at a single site and have high resistance potential, whereas oils have multiple modes of action and low resistance risk. The survey's actual results are not included in the corpus.</t>
  </si>
  <si>
    <t>• names single-site groups at risk: DMI (FRAC 3), QoI (FRAC 11), SDHI (FRAC 7)
• no control failures reported at survey time (NY)
• multisite/oil products have lower resistance risk
• notes the resistance status is uncertain and should be monitored, not assumed</t>
  </si>
  <si>
    <t>• claims widespread confirmed resistance
• recommends repeated use of a single fungicide group</t>
  </si>
  <si>
    <t>Answerable: risk categories and survey background; qualify: survey results not in the corpus</t>
  </si>
  <si>
    <t>[P3ce0df53da45bda5:p1:c1 | Assessment of Fungicide Resistance via Molecular Assay in Populations of Podosphaera leucotricha, Causal Agent of Apple Powdery Mildew, in New York | Reviewed abstract only; full methods/tables not admitted | United States - New York | date 2023]
[S014:web:16 | Apple Powdery Mildew | Chemical Controls | United States - Pacific Northwest | date 2024-07]
[P93502a866cffdf0e:p7:c1 | Control of powdery mildew (Podosphaera leucotricha) on apple seedlings using anhydrous milk fat and soybean oil emulsions | Discussion/conclusion – dated experimental context | New Zealand - controlled apple-seedling glasshouse trials | date 2011]
[passage text omitted for copyright; see the chunk ids above and data/registers/source_register.json]</t>
  </si>
  <si>
    <t>https://doi.org/10.1094/PDIS-12-22-2820-SR
https://treefruit.wsu.edu/crop-protection/apple-powdery-mildew/
https://journal.nzpps.org/index.php/nzpp/article/view/5982</t>
  </si>
  <si>
    <t>Retrieval rank of cited passage: 3
#1 S014:web:17 (0.821)Apple Powdery Mildew | Table 2 Fungicides registered to control of powdery mildews in conventional orchards.
#2 S003:web:3 (0.788)Powdery Mildew | Management
#3 S014:web:18 (0.769)Apple Powdery Mildew | Table 2 Fungicides registered to control of powdery mildews in conventional orchards.
#4 S210:web:4 (0.763)Apple Disease - Powdery Mildew | Disease Management
#5 P6b24c75c81538249:p7:c2 (0.760)Slaked lime, baking soda and mineral oil for blackspot and powdery mildew control in apples | Discussion/conclusion – dated experimental context
[passage text omitted for copyright; see the chunk ids above and data/registers/source_register.json]</t>
  </si>
  <si>
    <t>State that FRAC groups, local registration lists and resistance monitoring differ by region; do not generalise that all single-site fungicides have failed. Re-check whether the original corpus contains material for the part to decline; the current excerpts do not prove that the whole corpus lacks such evidence.</t>
  </si>
  <si>
    <t>T034</t>
  </si>
  <si>
    <t>monitoring_sampling</t>
  </si>
  <si>
    <t>How do I know if my apple trees have woolly apple aphid on the roots?</t>
  </si>
  <si>
    <t>Root colonies are the most damaging and are found by looking at the roots and the crown just above them: roots develop large abnormal swellings (galls) and many short fibrous roots, and colonies with shorter whitish wax may be visible on roots and underground parts of the trunk. Above ground, infested trees may have yellowish foliage and young trees uproot easily. The aphid overwinters as nymphs on roots, which move up the trunk in spring and summer to start above-ground colonies.</t>
  </si>
  <si>
    <t>• inspect roots and crown for galls/swellings and waxy colonies
• signs: abnormal root swellings, fibrous roots, yellowish foliage, easily uprooted young trees
• root colonies are the most damaging
• overwinters on roots and moves up the trunk</t>
  </si>
  <si>
    <t>• says woolly apple aphid only lives on branches</t>
  </si>
  <si>
    <t>[S244:web:2 | Tree Fruit Insect Pest - Woolly Apple Aphid | Description and Life Cycle | United States - Pennsylvania | date January 5, 2024]
[S020:web:6 | Woolly Apple Aphid | Damage | United States - Pacific Northwest | date by Elizabeth H. Beers, Stanley C. Hoyt, and Michael J. Willett, originally published 1993; revised March 2010 E. Beers; and June 2019 Robert J. Orpet.; revised March 2010]
[S020:web:5 | Woolly Apple Aphid | Life history | United States - Pacific Northwest | date by Elizabeth H. Beers, Stanley C. Hoyt, and Michael J. Willett, originally published 1993; revised March 2010 E. Beers; and June 2019 Robert J. Orpet.; revised March 2010]
[S012:web:1 | Woolly Apple Aphid | Description of the Pest | United States - California | date Text Updated: 01/11; Treatment Table Updated: 10/15]
[passage text omitted for copyright; see the chunk ids above and data/registers/source_register.json]</t>
  </si>
  <si>
    <t>https://extension.psu.edu/tree-fruit-insect-pest-woolly-apple-aphid
https://treefruit.wsu.edu/crop-protection/opm/woolly-apple-aphid/
https://ipm.ucanr.edu/agriculture/apple/woolly-apple-aphid/</t>
  </si>
  <si>
    <t>Retrieval rank of cited passage: 1
#1 Pac2f744e6d94a879:p53:c1 (0.824)Crop Profile for Apple in Canada, 2022 (Sixth Edition, 2023) | Woolly Apple Aphid (Eriosoma lanigerum); biology/cultural management, Canada 2023
#2 S244:web:1 (0.821)Tree Fruit Insect Pest - Woolly Apple Aphid | Overview
[passage text omitted for copyright; see the chunk ids above and data/registers/source_register.json]</t>
  </si>
  <si>
    <t>T037</t>
  </si>
  <si>
    <t>New Zealand</t>
  </si>
  <si>
    <t>I'm in New Zealand. How should I prune out European canker in my orchard?</t>
  </si>
  <si>
    <t>New Zealand guidance: remove all visible cankers during winter pruning; because infected wood can extend beyond the visible canker, cut at least 300 mm below the lowest canker; scraping may not remove all infection; do not prune in rain; sometimes a whole limb or tree must go. Sterilise pruning tools between trees if infection is evident, and remove and burn infected material. Infection can occur all year wherever wounds exist; a New Zealand study found pruning cuts very susceptible and fruit picking and thinning wounds the most important natural entry sites, so inspect spurs (wilting leaves next to picking wounds can signal infection).</t>
  </si>
  <si>
    <t>• remove all visible cankers in winter pruning
• cut at least 300 mm below the lowest canker; don't prune in rain
• sterilise tools; remove and burn infected material
• wounds (pruning, picking, thinning, leaf scars) are infection sites; infection year-round</t>
  </si>
  <si>
    <t>• recommends scraping cankers as sufficient
• recommends pruning during rain</t>
  </si>
  <si>
    <t>[S279:web:6 | European canker | Cultural control | New Zealand | date unknown]
[S279:web:1 | European canker | Summary | New Zealand | date unknown]
[S279:web:5 | European canker | Timing of expression | New Zealand | date unknown]
[P86663e8e7add6d5b:p6:c2 | Seasonal wound presence and susceptibility to Neonectria ditissima infection in New Zealand apple trees | Discussion/conclusion – dated experimental context | New Zealand - apple wound-inoculation trials | date 2015]
[P86663e8e7add6d5b:p7:c1 | Seasonal wound presence and susceptibility to Neonectria ditissima infection in New Zealand apple trees | Discussion/conclusion – dated experimental context | New Zealand - apple wound-inoculation trials | date 2015]
[passage text omitted for copyright; see the chunk ids above and data/registers/source_register.json]</t>
  </si>
  <si>
    <t>https://www.hortinfo.co.nz/textfiles/pdh301_59.htm
http://www.journal.nzpps.org/index.php/nzpp/article/view/5799</t>
  </si>
  <si>
    <t>Retrieval rank of cited passage: 6
#1 S004:web:3 (0.790)European Canker | Management
#2 S004:web:5 (0.783)European Canker | Treatment Decisions
#3 S015:web:11 (0.772)Fire Blight of Apple and Pear | Winter sanitation
#4 S016:web:6 (0.764)Bull's Eye Rot | Cultural Controls
#5 S279:web:2 (0.757)European canker | Overview
[passage text omitted for copyright; see the chunk ids above and data/registers/source_register.json]</t>
  </si>
  <si>
    <t>Check whether the pruning distance, tool disinfection and handling of prunings are stated explicitly in the NZ source; do not generalise trial recommendations.</t>
  </si>
  <si>
    <t>T038</t>
  </si>
  <si>
    <t>I'm in Hawke's Bay, New Zealand. When is the fire blight risk highest and how do I know when to act?</t>
  </si>
  <si>
    <t>New Zealand guidance says outbreaks occur at blossom when temperatures exceed 16°C, with the key infection period around flowering. A Hawke's Bay, Nelson and Waikato study (1993–1995, MARYBLYT model on Royal Gala) found few mid-bloom infection events; most predicted events were near the end of flowering or after petal fall, so secondary blooms (common on Royal Gala and Braeburn) are the main risk and early-bloom streptomycin sprays were often not aligned with infection periods. Use a risk model with weather data (a fire blight model is available through Pipfruit NZ) together with open flowers, inoculum and orchard history, and keep monitoring and removing strikes.</t>
  </si>
  <si>
    <t>• risk is highest during blossom when temperatures exceed about 16°C
• most infection events occur in late bloom/after petal fall; secondary blooms are at risk
• use a weather-based risk model plus orchard factors
• monitor and remove strikes</t>
  </si>
  <si>
    <t>• recommends routine early-bloom sprays regardless of risk
• presents US temperature thresholds as NZ guidance</t>
  </si>
  <si>
    <t>[S265:web:2 | Fireblight | Timing of expression | New Zealand | date unknown]
[S265:web:1 | Fireblight | Damage | New Zealand | date unknown]
[P18341c3865d73ea0:p1:c1 | Applications of the MARYBLYT computer model for identifying infection risk for fire blight of apple | Abstract – dated research findings | New Zealand - Hawke’s Bay and Waikato | date 1996]
[P18341c3865d73ea0:p4:c1 | Applications of the MARYBLYT computer model for identifying infection risk for fire blight of apple | Discussion/conclusion – dated experimental context | New Zealand - Hawke’s Bay and Waikato | date 1996]
[S265:web:4 | Fireblight | Cultural control | New Zealand | date unknown]
[S265:web:3 | Fireblight | Management principles | New Zealand | date unknown]
[passage text omitted for copyright; see the chunk ids above and data/registers/source_register.json]</t>
  </si>
  <si>
    <t>https://www.hortinfo.co.nz/textfiles/pdh219_59.htm
https://journal.nzpps.org/index.php/pnzppc/article/view/11432</t>
  </si>
  <si>
    <t>Retrieval rank of cited passage: 2
#1 S015:web:18 (0.751)Fire Blight of Apple and Pear | Temperature Risk Models
#2 Pc857494577bd34fb:p19:c1 (0.715)Apple IPM for Beginners | Fire blight: concern and cycle
#3 Pbb050e80247f328d:p39:c2 (0.712)IPM Manual for Minnesota Apple Orchards | Historical Minnesota fire blight cultural control; product sentence excluded
#4 S015:web:19 (0.711)Fire Blight of Apple and Pear | Chemical Control Programs
[passage text omitted for copyright; see the chunk ids above and data/registers/source_register.json]</t>
  </si>
  <si>
    <t>T043</t>
  </si>
  <si>
    <t>boundary_insufficient</t>
  </si>
  <si>
    <t>unanswerable</t>
  </si>
  <si>
    <t>I'm in New Zealand and some apple leaves have pale mosaic patterns. Is this apple mosaic virus and how is it managed?</t>
  </si>
  <si>
    <t>A description of pale mosaic patterns alone cannot confirm apple mosaic virus: several causes can produce similar leaf patterns, and confirmation needs testing or expert diagnosis. The reviewed corpus contains no information on apple mosaic virus, so no evidence-based management can be given; a good answer stays cautious, does not present general advice as verified New Zealand guidance, and suggests local expert diagnosis.</t>
  </si>
  <si>
    <t>• does not confirm apple mosaic virus from the description alone (suggests testing or expert diagnosis)
• notes that other causes can produce similar leaf patterns
• does not present management advice as verified New Zealand guidance</t>
  </si>
  <si>
    <t>• confirms apple mosaic virus definitively from the description
• attributes the patterns to another pest without any caveat</t>
  </si>
  <si>
    <t>Decline everything: the corpus has no apple mosaic material</t>
  </si>
  <si>
    <t>[passage text omitted for copyright; see the chunk ids above and data/registers/source_register.json]</t>
  </si>
  <si>
    <t>cited passage not in the top 6
#1 Pc857494577bd34fb:p24:c1 (0.745)Apple IPM for Beginners | Apple rust diseases
#2 S212:web:2 (0.738)Apple Diseases - Fruit Rots, Control at Apple Harvest (and Postharvest) | Necrotic Leaf Blotch vs. Gomerella Leaf Spot
#3 P86663e8e7add6d5b:p1:c1 (0.737)Seasonal wound presence and susceptibility to Neonectria ditissima infection in New Zealand apple trees | Abstract – dated research findings
#4 P86663e8e7add6d5b:p6:c3 (0.735)Seasonal wound presence and susceptibility to Neonectria ditissima infection in New Zealand apple trees | Discussion/conclusion – dated experimental context
#5 P882f31f1ac437ffe:p1:c1 (0.731)Mapping European canker spatial pattern and disease progression in apples using GIS, Tasman, New Zealand | Abstract – dated research findings
#6 P86663e8e7add6d5b:p7:c1 (0.731)Seasonal wound presence and susceptibility to Neonectria ditissima infection in New Zealand apple trees | Discussion/conclusion – dated experimental context
[passage text omitted for copyright; see the chunk ids above and data/registers/source_register.json]</t>
  </si>
  <si>
    <t>T044</t>
  </si>
  <si>
    <t>I'm an organic grower in New Zealand. What can I use against powdery mildew?</t>
  </si>
  <si>
    <t>New Zealand trials give limited options. In field trials (1996), baking soda gave only slight powdery mildew control, improved by adding mineral oil, while slaked lime did not control powdery mildew (and may harm predatory mites); oil alone did not appear fungicidal; these alternatives were less effective than conventional fungicides. In glasshouse trials on Royal Gala seedlings (2011), weekly anhydrous milk fat and soybean oil sprays reduced mildew comparably to sulphur, but field testing was still needed. Pruning out infected shoots also reduces mildew (UC IPM).</t>
  </si>
  <si>
    <t>• baking soda gave slight control, improved with mineral oil (NZ field trial)
• slaked lime does not control powdery mildew
• milk fat/soybean oil worked in glasshouse only; field untested
• alternatives less effective than conventional fungicides</t>
  </si>
  <si>
    <t>• presents glasshouse results as proven field control
• recommends slaked lime for powdery mildew</t>
  </si>
  <si>
    <t>[P6b24c75c81538249:p1:c1 | Slaked lime, baking soda and mineral oil for blackspot and powdery mildew control in apples | Abstract – dated research findings | New Zealand - Hawke’s Bay, Nelson, Canterbury and Otago | date 1996]
[P6b24c75c81538249:p7:c1 | Slaked lime, baking soda and mineral oil for blackspot and powdery mildew control in apples | Discussion/conclusion – dated experimental context | New Zealand - Hawke’s Bay, Nelson, Canterbury and Otago | date 1996]
[P93502a866cffdf0e:p1:c1 | Control of powdery mildew (Podosphaera leucotricha) on apple seedlings using anhydrous milk fat and soybean oil emulsions | Abstract – dated research findings | New Zealand - controlled apple-seedling glasshouse trials | date 2011]
[P93502a866cffdf0e:p7:c1 | Control of powdery mildew (Podosphaera leucotricha) on apple seedlings using anhydrous milk fat and soybean oil emulsions | Discussion/conclusion – dated experimental context | New Zealand - controlled apple-seedling glasshouse trials | date 2011]
[S003:web:3 | Powdery Mildew | Management | United States - California | date Text Updated: 03/09; Treatment Table Updated: 10/15]
[passage text omitted for copyright; see the chunk ids above and data/registers/source_register.json]</t>
  </si>
  <si>
    <t>https://journal.nzpps.org/index.php/pnzppc/article/view/11434
https://journal.nzpps.org/index.php/nzpp/article/view/5982
https://ipm.ucanr.edu/agriculture/apple/powdery-mildew/</t>
  </si>
  <si>
    <t>Retrieval rank of cited passage: 4
#1 S014:web:18 (0.785)Apple Powdery Mildew | Table 2 Fungicides registered to control of powdery mildews in conventional orchards.
#2 S003:web:4 (0.765)Powdery Mildew | Organically Acceptable Methods
#3 S267:web:2 (0.752)Qo inhibitor fungicide resistance management strategy | Resistance prevention strategy
#4 S003:web:5 (0.742)Powdery Mildew | Treatment Decisions
#5 S014:web:16 (0.741)Apple Powdery Mildew | Chemical Controls
[passage text omitted for copyright; see the chunk ids above and data/registers/source_register.json]</t>
  </si>
  <si>
    <t>Limit the 1996 NZ trial findings to the trial formulation and conditions; do not present the small effect of sodium bicarbonate as a general recommendation.</t>
  </si>
  <si>
    <t>T046</t>
  </si>
  <si>
    <t>postharvest</t>
  </si>
  <si>
    <t>My stored apples have a spongy rot that turns black, with brown-black specks around the lenticels. What could it be?</t>
  </si>
  <si>
    <t>This fits speck rot (Phacidiopycnis washingtonensis), an emerging storage rot of apples in the US Pacific Northwest: the decay is spongy and water-soaked at first, turns brown then black while the margin stays water-soaked, and forms brown to black specks around lenticels, especially on red cultivars. It can be mistaken for gray mold, but gray mold flesh is brown whereas the speck rot margin looks translucent and water-soaked. Infection happens in the orchard (mainly stem and calyx ends, more after rain before harvest); inoculum comes mainly from crabapple pollinizers, so prune and treat pollinizers; preharvest and postharvest fungicides help (WSU).</t>
  </si>
  <si>
    <t>• identifies speck rot (Phacidiopycnis)
• spongy rot turning black; specks at lenticels
• distinguishes from gray mold
• orchard infection; crabapple pollinizers as inoculum; fungicides</t>
  </si>
  <si>
    <t>• diagnoses blue mold
• says infection happens only in storage</t>
  </si>
  <si>
    <t>[S075:web:3 | Phacidiopycnis Rot | Symptoms | United States - Pacific Northwest | date By Achour Amiri, WSU Plant Pathology. Updated April 2020. Downloadable pdf Phacidiopycnis; Updated April 2020]
[Pe09a620710faea85:p1:c1 | Phacidiopycnis Rots: Apple Speck Rot and Pear Phacidiopycnis Rot | Apple speck rot: causal organism and symptoms | United States - Pacific Northwest | date 2020-04]
[S075:web:2 | Phacidiopycnis Rot | Casual Organism | United States - Pacific Northwest | date By Achour Amiri, WSU Plant Pathology. Updated April 2020. Downloadable pdf Phacidiopycnis; Updated April 2020]
[Pe09a620710faea85:p2:c1 | Phacidiopycnis Rots: Apple Speck Rot and Pear Phacidiopycnis Rot | Apple P. washingtonensis infection cycle | United States - Pacific Northwest | date 2020-04]
[Pe09a620710faea85:p4:c1 | Phacidiopycnis Rots: Apple Speck Rot and Pear Phacidiopycnis Rot | Apple/crabapple inoculum and cultural control | United States - Pacific Northwest | date 2020-04]
[S075:web:12 | Phacidiopycnis Rot | Chemical Controls | United States - Pacific Northwest | date By Achour Amiri, WSU Plant Pathology. Updated April 2020. Downloadable pdf Phacidiopycnis; Updated April 2020]
[passage text omitted for copyright; see the chunk ids above and data/registers/source_register.json]</t>
  </si>
  <si>
    <t>https://treefruit.wsu.edu/crop-protection/disease-management/phacidiopycnis-rot/
https://s3.us-west-2.amazonaws.com/treefruit.wsu.edu/wp-content/uploads/2020/04/15154246/Phacidiopycnis-2020.04.15.pdf</t>
  </si>
  <si>
    <t>Retrieval rank of cited passage: 1
#1 S185:web:1 (0.792)Fact Sheet: White Rot | What is White Rot?
#2 S178:web:1 (0.773)Fact Sheet: Sooty Blotch and Fly Speck | Overview
#3 S248:web:2 (0.770)Pome Fruit Disease - Black Rot and Frogeye Leaf Spot | Symptoms
#4 S212:web:2 (0.764)Apple Diseases - Fruit Rots, Control at Apple Harvest (and Postharvest) | Necrotic Leaf Blotch vs. Gomerella Leaf Spot
[passage text omitted for copyright; see the chunk ids above and data/registers/source_register.json]</t>
  </si>
  <si>
    <t>T048</t>
  </si>
  <si>
    <t>I'm in New Zealand. My apple leaves have small dark spots and I've heard about Elsinoe leaf spot. Could that be it, and what works against it?</t>
  </si>
  <si>
    <t>The corpus cannot confirm the diagnosis: it has no description of Elsinoe leaf spot symptoms on apple. The only Elsinoe evidence is a New Zealand glasshouse study (2009) on Royal Gala testing products suitable for organic orchards against Elsinoe piri: lime sulphur, copper hydroxide, sulphur, a low concentration of potassium carbonate and a low concentration of a Yucca schidigera extract reduced disease, while higher potassium carbonate (1%) increased severity. These are glasshouse results, not field recommendations. Other leaf-spot diseases in the corpus (e.g. apple scab, frogeye leaf spot) look different and should be considered.</t>
  </si>
  <si>
    <t>• does not confirm Elsinoe leaf spot from the description alone
• glasshouse tests: lime sulphur, copper, sulphur and low-rate potassium carbonate reduced disease; 1% potassium carbonate increased severity
• labels them glasshouse, not field recommendations
• considers other leaf-spot causes</t>
  </si>
  <si>
    <t>• confirms Elsinoe leaf spot from the description
• presents glasshouse results as field-proven</t>
  </si>
  <si>
    <t>Answerable: New Zealand glasshouse product trial; decline: symptom confirmation; reason: the corpus has no description of Elsinoe symptoms</t>
  </si>
  <si>
    <t>[P9ff1d68283b5dcb7:p1:c1 | Effect of fungicidal treatments on severity and incidence of elsinoe leaf spot of apple | Elsinoe leaf spot – glasshouse Royal Gala poster findings | New Zealand - Plant &amp; Food Research glasshouse/laboratory | date 2009]
[P9ff1d68283b5dcb7:p1:c2 | Effect of fungicidal treatments on severity and incidence of elsinoe leaf spot of apple | Elsinoe leaf spot – glasshouse pretreatment results, not field recommendations | New Zealand - Plant &amp; Food Research glasshouse/laboratory | date 2009]
[S174:web:2 | Fact Sheet: Apple Scab | What does apple scab look like? | United States | date unknown]
[S248:web:2 | Pome Fruit Disease - Black Rot and Frogeye Leaf Spot | Symptoms | United States - Pennsylvania | date June 26, 2024]
[passage text omitted for copyright; see the chunk ids above and data/registers/source_register.json]</t>
  </si>
  <si>
    <t>https://www.journal.nzpps.org/index.php/nzpp/article/view/4851
https://blogs.cornell.edu/applevarietydatabase/fact-sheet-apple-scab/
https://extension.psu.edu/pome-fruit-disease-black-rot-and-frogeye-leaf-spot</t>
  </si>
  <si>
    <t>Retrieval rank of cited passage: 1
#1 S209:web:2 (0.739)Apple Disease - Marssonina Blotch | Marssonina Blotch Symptoms on Apple Trees
#2 S001:web:1 (0.732)Apple Scab | Symptoms and Signs
#3 S250:web:2 (0.731)Pome Fruit Disease - Rust | Symptoms
#4 S210:web:1 (0.716)Apple Disease - Powdery Mildew | Overview
#5 P86663e8e7add6d5b:p7:c1 (0.715)Seasonal wound presence and susceptibility to Neonectria ditissima infection in New Zealand apple trees | Discussion/conclusion – dated experimental context
[passage text omitted for copyright; see the chunk ids above and data/registers/source_register.json]</t>
  </si>
  <si>
    <t>T050</t>
  </si>
  <si>
    <t>Small worms are feeding just under the skin of my apples, leaving shallow trails, but they don't reach the core. What could they be?</t>
  </si>
  <si>
    <t>This fits lesser appleworm: larvae form extensive shallow mines under the fruit skin, may burrow deeper but not into the core, and in autumn often feed around the calyx. Codling moth differs because its larvae tunnel to the core. European apple sawfly's first larval stage also tunnels just under the skin, leaving a ribbon-like scar, before later larvae bore into the seed cavity. Lesser appleworm is usually not an economic pest: codling moth controls (except codling-moth-only mating disruption) also control it, and WSU says control is not necessary.</t>
  </si>
  <si>
    <t>• identifies lesser appleworm
• shallow mines under skin, not into core
• distinguishes from codling moth and/or European apple sawfly
• usually not economic; codling moth programme controls it</t>
  </si>
  <si>
    <t>• identifies the larvae as codling moth
• recommends a dedicated spray programme</t>
  </si>
  <si>
    <t>[S023:web:3 | Tree Fruit Insect Pest - Lesser Appleworm | Injury | United States - Pennsylvania | date February 25, 2026]
[S023:web:1 | Tree Fruit Insect Pest - Lesser Appleworm | Overview | United States - Pennsylvania | date February 25, 2026]
[S118:web:7 | Lesser appleworm | Damage | United States - Pacific Northwest | date by Harold R. Moffitt and Michael J. Willett, originally published 1993]
[S222:web:3 | Tree Fruit Insect Pest - European Apple Sawfly | Instars | United States - Pennsylvania | date February 25, 2026]
[S023:web:4 | Tree Fruit Insect Pest - Lesser Appleworm | Monitoring and Management | United States - Pennsylvania | date February 25, 2026]
[S118:web:10 | Lesser appleworm | Management | United States - Pacific Northwest | date by Harold R. Moffitt and Michael J. Willett, originally published 1993]
[passage text omitted for copyright; see the chunk ids above and data/registers/source_register.json]</t>
  </si>
  <si>
    <t>https://extension.psu.edu/tree-fruit-insect-pest-lesser-appleworm
https://treefruit.wsu.edu/crop-protection/opm/lesser-appleworm/
https://extension.psu.edu/tree-fruit-insect-pest-european-apple-sawfly</t>
  </si>
  <si>
    <t>Retrieval rank of cited passage: 1
#1 S022:web:4 (0.752)Tree Fruit Insect Pest - Codling Moth | Damage
#2 Pc857494577bd34fb:p30:c1 (0.749)Apple IPM for Beginners | Worms in apple fruit
#3 S211:web:2 (0.718)Apple Disease: Moldy Core | Symptoms
#4 S126:web:9 (0.717)Oriental fruit moth | Damage
[passage text omitted for copyright; see the chunk ids above and data/registers/source_register.json]</t>
  </si>
  <si>
    <t>Questions</t>
  </si>
  <si>
    <t>Rejected</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</si>
</sst>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1"/>
      <color theme="1"/>
      <name val="Times New Roman"/>
      <charset val="134"/>
    </font>
    <font>
      <b/>
      <sz val="11"/>
      <name val="宋体"/>
      <charset val="134"/>
      <scheme val="minor"/>
    </font>
    <font>
      <b/>
      <sz val="11"/>
      <name val="Times New Roman"/>
      <charset val="134"/>
    </font>
    <font>
      <u/>
      <sz val="11"/>
      <color rgb="FF0563C1"/>
      <name val="Times New Roman"/>
      <charset val="134"/>
    </font>
    <font>
      <sz val="11"/>
      <color rgb="FF0563C1"/>
      <name val="Times New Roman"/>
      <charset val="134"/>
    </font>
    <font>
      <b/>
      <sz val="13"/>
      <name val="Calibri"/>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DDEBF7"/>
        <bgColor indexed="64"/>
      </patternFill>
    </fill>
    <fill>
      <patternFill patternType="solid">
        <fgColor rgb="FFFFF2CC"/>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8" fillId="0" borderId="0">
      <alignment vertical="center"/>
    </xf>
    <xf numFmtId="0" fontId="9" fillId="0" borderId="0">
      <alignment vertical="center"/>
    </xf>
    <xf numFmtId="0" fontId="0" fillId="4" borderId="3">
      <alignment vertical="center"/>
    </xf>
    <xf numFmtId="0" fontId="10" fillId="0" borderId="0">
      <alignment vertical="center"/>
    </xf>
    <xf numFmtId="0" fontId="11" fillId="0" borderId="0">
      <alignment vertical="center"/>
    </xf>
    <xf numFmtId="0" fontId="12" fillId="0" borderId="0">
      <alignment vertical="center"/>
    </xf>
    <xf numFmtId="0" fontId="13" fillId="0" borderId="4">
      <alignment vertical="center"/>
    </xf>
    <xf numFmtId="0" fontId="14" fillId="0" borderId="4">
      <alignment vertical="center"/>
    </xf>
    <xf numFmtId="0" fontId="15" fillId="0" borderId="5">
      <alignment vertical="center"/>
    </xf>
    <xf numFmtId="0" fontId="15" fillId="0" borderId="0">
      <alignment vertical="center"/>
    </xf>
    <xf numFmtId="0" fontId="16" fillId="5" borderId="6">
      <alignment vertical="center"/>
    </xf>
    <xf numFmtId="0" fontId="17" fillId="6" borderId="7">
      <alignment vertical="center"/>
    </xf>
    <xf numFmtId="0" fontId="18" fillId="6" borderId="6">
      <alignment vertical="center"/>
    </xf>
    <xf numFmtId="0" fontId="19" fillId="7" borderId="8">
      <alignment vertical="center"/>
    </xf>
    <xf numFmtId="0" fontId="20" fillId="0" borderId="9">
      <alignment vertical="center"/>
    </xf>
    <xf numFmtId="0" fontId="21" fillId="0" borderId="10">
      <alignment vertical="center"/>
    </xf>
    <xf numFmtId="0" fontId="22" fillId="8" borderId="0">
      <alignment vertical="center"/>
    </xf>
    <xf numFmtId="0" fontId="23" fillId="9" borderId="0">
      <alignment vertical="center"/>
    </xf>
    <xf numFmtId="0" fontId="24" fillId="10" borderId="0">
      <alignment vertical="center"/>
    </xf>
    <xf numFmtId="0" fontId="25" fillId="11" borderId="0">
      <alignment vertical="center"/>
    </xf>
    <xf numFmtId="0" fontId="26" fillId="12" borderId="0">
      <alignment vertical="center"/>
    </xf>
    <xf numFmtId="0" fontId="26" fillId="13" borderId="0">
      <alignment vertical="center"/>
    </xf>
    <xf numFmtId="0" fontId="25" fillId="14" borderId="0">
      <alignment vertical="center"/>
    </xf>
    <xf numFmtId="0" fontId="25" fillId="15" borderId="0">
      <alignment vertical="center"/>
    </xf>
    <xf numFmtId="0" fontId="26" fillId="16" borderId="0">
      <alignment vertical="center"/>
    </xf>
    <xf numFmtId="0" fontId="26" fillId="17" borderId="0">
      <alignment vertical="center"/>
    </xf>
    <xf numFmtId="0" fontId="25" fillId="18" borderId="0">
      <alignment vertical="center"/>
    </xf>
    <xf numFmtId="0" fontId="25" fillId="19" borderId="0">
      <alignment vertical="center"/>
    </xf>
    <xf numFmtId="0" fontId="26" fillId="20" borderId="0">
      <alignment vertical="center"/>
    </xf>
    <xf numFmtId="0" fontId="26" fillId="21" borderId="0">
      <alignment vertical="center"/>
    </xf>
    <xf numFmtId="0" fontId="25" fillId="22" borderId="0">
      <alignment vertical="center"/>
    </xf>
    <xf numFmtId="0" fontId="25" fillId="23" borderId="0">
      <alignment vertical="center"/>
    </xf>
    <xf numFmtId="0" fontId="26" fillId="24" borderId="0">
      <alignment vertical="center"/>
    </xf>
    <xf numFmtId="0" fontId="26" fillId="25" borderId="0">
      <alignment vertical="center"/>
    </xf>
    <xf numFmtId="0" fontId="25" fillId="26" borderId="0">
      <alignment vertical="center"/>
    </xf>
    <xf numFmtId="0" fontId="25" fillId="27" borderId="0">
      <alignment vertical="center"/>
    </xf>
    <xf numFmtId="0" fontId="26" fillId="28" borderId="0">
      <alignment vertical="center"/>
    </xf>
    <xf numFmtId="0" fontId="26" fillId="29" borderId="0">
      <alignment vertical="center"/>
    </xf>
    <xf numFmtId="0" fontId="25" fillId="30" borderId="0">
      <alignment vertical="center"/>
    </xf>
    <xf numFmtId="0" fontId="25" fillId="31" borderId="0">
      <alignment vertical="center"/>
    </xf>
    <xf numFmtId="0" fontId="26" fillId="32" borderId="0">
      <alignment vertical="center"/>
    </xf>
    <xf numFmtId="0" fontId="26" fillId="33" borderId="0">
      <alignment vertical="center"/>
    </xf>
    <xf numFmtId="0" fontId="25" fillId="34" borderId="0">
      <alignment vertical="center"/>
    </xf>
  </cellStyleXfs>
  <cellXfs count="14">
    <xf numFmtId="0" fontId="0" fillId="0" borderId="0" xfId="0"/>
    <xf numFmtId="0" fontId="0" fillId="0" borderId="0" xfId="0" applyAlignment="1">
      <alignment horizontal="center" vertical="center"/>
    </xf>
    <xf numFmtId="0" fontId="1" fillId="0" borderId="0" xfId="0" applyFont="1" applyAlignment="1">
      <alignment horizontal="center"/>
    </xf>
    <xf numFmtId="0" fontId="1" fillId="0" borderId="0" xfId="0" applyFont="1"/>
    <xf numFmtId="0" fontId="2" fillId="2" borderId="0" xfId="0" applyFont="1" applyFill="1" applyAlignment="1">
      <alignment horizontal="center" vertical="center" wrapText="1"/>
    </xf>
    <xf numFmtId="0" fontId="2" fillId="3" borderId="0" xfId="0" applyFont="1" applyFill="1" applyAlignment="1">
      <alignment horizontal="center" vertical="center" wrapText="1"/>
    </xf>
    <xf numFmtId="0" fontId="3" fillId="0" borderId="0" xfId="0" applyFont="1" applyAlignment="1">
      <alignment horizontal="center" vertical="center" wrapText="1"/>
    </xf>
    <xf numFmtId="0" fontId="1"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5" fillId="0" borderId="1" xfId="0" applyFont="1" applyBorder="1" applyAlignment="1">
      <alignment horizontal="center" vertical="center" wrapText="1"/>
    </xf>
    <xf numFmtId="0" fontId="6" fillId="0" borderId="0" xfId="0" applyFont="1" applyFill="1" applyAlignment="1"/>
    <xf numFmtId="0" fontId="7" fillId="0" borderId="0" xfId="0" applyFont="1" applyFill="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9"/>
  <sheetViews>
    <sheetView workbookViewId="0">
      <selection activeCell="A1" sqref="A1"/>
    </sheetView>
  </sheetViews>
  <sheetFormatPr defaultColWidth="8.88888888888889" defaultRowHeight="14.4"/>
  <cols>
    <col min="1" max="1" width="111.333333333333" customWidth="1"/>
  </cols>
  <sheetData>
    <row r="1" ht="17.4" spans="1:1">
      <c r="A1" s="12" t="s">
        <v>0</v>
      </c>
    </row>
    <row r="2" spans="1:1">
      <c r="A2" s="13"/>
    </row>
    <row r="3" spans="1:1">
      <c r="A3" s="13" t="s">
        <v>1</v>
      </c>
    </row>
    <row r="4" spans="1:1">
      <c r="A4" s="13" t="s">
        <v>2</v>
      </c>
    </row>
    <row r="5" spans="1:1">
      <c r="A5" s="13" t="s">
        <v>3</v>
      </c>
    </row>
    <row r="6" spans="1:1">
      <c r="A6" s="13" t="s">
        <v>4</v>
      </c>
    </row>
    <row r="7" spans="1:1">
      <c r="A7" s="13" t="s">
        <v>5</v>
      </c>
    </row>
    <row r="8" spans="1:1">
      <c r="A8" s="13" t="s">
        <v>6</v>
      </c>
    </row>
    <row r="9" spans="1:1">
      <c r="A9" s="13" t="s">
        <v>7</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21"/>
  <sheetViews>
    <sheetView workbookViewId="0">
      <pane xSplit="1" ySplit="1" topLeftCell="B20" activePane="bottomRight" state="frozen"/>
      <selection/>
      <selection pane="topRight"/>
      <selection pane="bottomLeft"/>
      <selection pane="bottomRight" activeCell="E25" sqref="E25"/>
    </sheetView>
  </sheetViews>
  <sheetFormatPr defaultColWidth="9" defaultRowHeight="13.8"/>
  <cols>
    <col min="1" max="1" width="13.0648148148148" style="3" customWidth="1"/>
    <col min="2" max="2" width="14" style="3" customWidth="1"/>
    <col min="3" max="3" width="16" style="3" customWidth="1"/>
    <col min="4" max="4" width="10" style="3" customWidth="1"/>
    <col min="5" max="5" width="40" style="3" customWidth="1"/>
    <col min="6" max="6" width="55" style="3" customWidth="1"/>
    <col min="7" max="7" width="40" style="3" customWidth="1"/>
    <col min="8" max="8" width="30" style="3" customWidth="1"/>
    <col min="9" max="9" width="9" style="3" customWidth="1"/>
    <col min="10" max="10" width="80" style="3" customWidth="1"/>
    <col min="11" max="11" width="30" style="3" customWidth="1"/>
    <col min="12" max="12" width="60" style="3" customWidth="1"/>
    <col min="13" max="13" width="7" style="3" customWidth="1"/>
    <col min="14" max="18" width="9" style="3" customWidth="1"/>
    <col min="19" max="19" width="12" style="3" customWidth="1"/>
    <col min="20" max="20" width="40" style="3" customWidth="1"/>
    <col min="21" max="21" width="10" style="3" customWidth="1"/>
    <col min="22" max="16384" width="9" style="3" customWidth="1"/>
  </cols>
  <sheetData>
    <row r="1" s="2" customFormat="1" ht="43.2" customHeight="1" spans="1:22">
      <c r="A1" s="4" t="s">
        <v>8</v>
      </c>
      <c r="B1" s="4" t="s">
        <v>9</v>
      </c>
      <c r="C1" s="4" t="s">
        <v>10</v>
      </c>
      <c r="D1" s="4" t="s">
        <v>11</v>
      </c>
      <c r="E1" s="4" t="s">
        <v>12</v>
      </c>
      <c r="F1" s="4" t="s">
        <v>13</v>
      </c>
      <c r="G1" s="4" t="s">
        <v>14</v>
      </c>
      <c r="H1" s="4" t="s">
        <v>15</v>
      </c>
      <c r="I1" s="4" t="s">
        <v>16</v>
      </c>
      <c r="J1" s="4" t="s">
        <v>17</v>
      </c>
      <c r="K1" s="4" t="s">
        <v>18</v>
      </c>
      <c r="L1" s="4" t="s">
        <v>19</v>
      </c>
      <c r="M1" s="5" t="s">
        <v>20</v>
      </c>
      <c r="N1" s="5" t="s">
        <v>21</v>
      </c>
      <c r="O1" s="5" t="s">
        <v>22</v>
      </c>
      <c r="P1" s="5" t="s">
        <v>23</v>
      </c>
      <c r="Q1" s="5" t="s">
        <v>24</v>
      </c>
      <c r="R1" s="5" t="s">
        <v>25</v>
      </c>
      <c r="S1" s="5" t="s">
        <v>26</v>
      </c>
      <c r="T1" s="5" t="s">
        <v>27</v>
      </c>
      <c r="U1" s="5" t="s">
        <v>28</v>
      </c>
      <c r="V1" s="6"/>
    </row>
    <row r="2" ht="150" customHeight="1" spans="1:22">
      <c r="A2" s="7" t="s">
        <v>29</v>
      </c>
      <c r="B2" s="7" t="s">
        <v>30</v>
      </c>
      <c r="C2" s="7" t="s">
        <v>31</v>
      </c>
      <c r="D2" s="7" t="s">
        <v>32</v>
      </c>
      <c r="E2" s="7" t="s">
        <v>33</v>
      </c>
      <c r="F2" s="7" t="s">
        <v>34</v>
      </c>
      <c r="G2" s="7" t="s">
        <v>35</v>
      </c>
      <c r="H2" s="7" t="s">
        <v>36</v>
      </c>
      <c r="I2" s="7" t="s">
        <v>37</v>
      </c>
      <c r="J2" s="7" t="s">
        <v>38</v>
      </c>
      <c r="K2" s="8" t="s">
        <v>39</v>
      </c>
      <c r="L2" s="7" t="s">
        <v>40</v>
      </c>
      <c r="M2" s="9" t="s">
        <v>41</v>
      </c>
      <c r="N2" s="9" t="s">
        <v>42</v>
      </c>
      <c r="O2" s="9" t="s">
        <v>41</v>
      </c>
      <c r="P2" s="9" t="s">
        <v>41</v>
      </c>
      <c r="Q2" s="9" t="s">
        <v>41</v>
      </c>
      <c r="R2" s="9" t="s">
        <v>41</v>
      </c>
      <c r="S2" s="9" t="s">
        <v>43</v>
      </c>
      <c r="T2" s="10"/>
      <c r="U2" s="9" t="s">
        <v>44</v>
      </c>
    </row>
    <row r="3" ht="150" customHeight="1" spans="1:22">
      <c r="A3" s="7" t="s">
        <v>45</v>
      </c>
      <c r="B3" s="7" t="s">
        <v>30</v>
      </c>
      <c r="C3" s="7" t="s">
        <v>31</v>
      </c>
      <c r="D3" s="7" t="s">
        <v>32</v>
      </c>
      <c r="E3" s="7" t="s">
        <v>46</v>
      </c>
      <c r="F3" s="7" t="s">
        <v>47</v>
      </c>
      <c r="G3" s="7" t="s">
        <v>48</v>
      </c>
      <c r="H3" s="7" t="s">
        <v>49</v>
      </c>
      <c r="I3" s="7" t="s">
        <v>37</v>
      </c>
      <c r="J3" s="7" t="s">
        <v>50</v>
      </c>
      <c r="K3" s="11" t="s">
        <v>51</v>
      </c>
      <c r="L3" s="7" t="s">
        <v>52</v>
      </c>
      <c r="M3" s="9" t="s">
        <v>41</v>
      </c>
      <c r="N3" s="9" t="s">
        <v>42</v>
      </c>
      <c r="O3" s="9" t="s">
        <v>41</v>
      </c>
      <c r="P3" s="9" t="s">
        <v>41</v>
      </c>
      <c r="Q3" s="9" t="s">
        <v>41</v>
      </c>
      <c r="R3" s="9" t="s">
        <v>41</v>
      </c>
      <c r="S3" s="9" t="s">
        <v>43</v>
      </c>
      <c r="T3" s="10"/>
      <c r="U3" s="9" t="s">
        <v>44</v>
      </c>
    </row>
    <row r="4" ht="150" customHeight="1" spans="1:22">
      <c r="A4" s="7" t="s">
        <v>53</v>
      </c>
      <c r="B4" s="7" t="s">
        <v>30</v>
      </c>
      <c r="C4" s="7" t="s">
        <v>31</v>
      </c>
      <c r="D4" s="7" t="s">
        <v>32</v>
      </c>
      <c r="E4" s="7" t="s">
        <v>54</v>
      </c>
      <c r="F4" s="7" t="s">
        <v>55</v>
      </c>
      <c r="G4" s="7" t="s">
        <v>56</v>
      </c>
      <c r="H4" s="7" t="s">
        <v>57</v>
      </c>
      <c r="I4" s="7" t="s">
        <v>37</v>
      </c>
      <c r="J4" s="7" t="s">
        <v>58</v>
      </c>
      <c r="K4" s="11" t="s">
        <v>59</v>
      </c>
      <c r="L4" s="7" t="s">
        <v>60</v>
      </c>
      <c r="M4" s="9" t="s">
        <v>41</v>
      </c>
      <c r="N4" s="9" t="s">
        <v>42</v>
      </c>
      <c r="O4" s="9" t="s">
        <v>41</v>
      </c>
      <c r="P4" s="9" t="s">
        <v>41</v>
      </c>
      <c r="Q4" s="9" t="s">
        <v>41</v>
      </c>
      <c r="R4" s="9" t="s">
        <v>41</v>
      </c>
      <c r="S4" s="9" t="s">
        <v>43</v>
      </c>
      <c r="T4" s="10"/>
      <c r="U4" s="9" t="s">
        <v>44</v>
      </c>
    </row>
    <row r="5" ht="150" customHeight="1" spans="1:22">
      <c r="A5" s="7" t="s">
        <v>61</v>
      </c>
      <c r="B5" s="7" t="s">
        <v>30</v>
      </c>
      <c r="C5" s="7" t="s">
        <v>31</v>
      </c>
      <c r="D5" s="7" t="s">
        <v>32</v>
      </c>
      <c r="E5" s="7" t="s">
        <v>62</v>
      </c>
      <c r="F5" s="7" t="s">
        <v>63</v>
      </c>
      <c r="G5" s="7" t="s">
        <v>64</v>
      </c>
      <c r="H5" s="7" t="s">
        <v>65</v>
      </c>
      <c r="I5" s="7" t="s">
        <v>37</v>
      </c>
      <c r="J5" s="7" t="s">
        <v>66</v>
      </c>
      <c r="K5" s="11" t="s">
        <v>67</v>
      </c>
      <c r="L5" s="7" t="s">
        <v>68</v>
      </c>
      <c r="M5" s="9" t="s">
        <v>41</v>
      </c>
      <c r="N5" s="9" t="s">
        <v>42</v>
      </c>
      <c r="O5" s="9" t="s">
        <v>41</v>
      </c>
      <c r="P5" s="9" t="s">
        <v>41</v>
      </c>
      <c r="Q5" s="9" t="s">
        <v>41</v>
      </c>
      <c r="R5" s="9" t="s">
        <v>41</v>
      </c>
      <c r="S5" s="9" t="s">
        <v>43</v>
      </c>
      <c r="T5" s="10"/>
      <c r="U5" s="9" t="s">
        <v>44</v>
      </c>
    </row>
    <row r="6" ht="150" customHeight="1" spans="1:22">
      <c r="A6" s="7" t="s">
        <v>69</v>
      </c>
      <c r="B6" s="7" t="s">
        <v>30</v>
      </c>
      <c r="C6" s="7" t="s">
        <v>31</v>
      </c>
      <c r="D6" s="7" t="s">
        <v>32</v>
      </c>
      <c r="E6" s="7" t="s">
        <v>70</v>
      </c>
      <c r="F6" s="7" t="s">
        <v>71</v>
      </c>
      <c r="G6" s="7" t="s">
        <v>72</v>
      </c>
      <c r="H6" s="7" t="s">
        <v>73</v>
      </c>
      <c r="I6" s="7" t="s">
        <v>37</v>
      </c>
      <c r="J6" s="7" t="s">
        <v>74</v>
      </c>
      <c r="K6" s="11" t="s">
        <v>75</v>
      </c>
      <c r="L6" s="7" t="s">
        <v>76</v>
      </c>
      <c r="M6" s="9" t="s">
        <v>41</v>
      </c>
      <c r="N6" s="9" t="s">
        <v>42</v>
      </c>
      <c r="O6" s="9" t="s">
        <v>41</v>
      </c>
      <c r="P6" s="9" t="s">
        <v>41</v>
      </c>
      <c r="Q6" s="9" t="s">
        <v>41</v>
      </c>
      <c r="R6" s="9" t="s">
        <v>41</v>
      </c>
      <c r="S6" s="9" t="s">
        <v>43</v>
      </c>
      <c r="T6" s="10"/>
      <c r="U6" s="9" t="s">
        <v>44</v>
      </c>
    </row>
    <row r="7" ht="150" customHeight="1" spans="1:22">
      <c r="A7" s="7" t="s">
        <v>77</v>
      </c>
      <c r="B7" s="7" t="s">
        <v>30</v>
      </c>
      <c r="C7" s="7" t="s">
        <v>31</v>
      </c>
      <c r="D7" s="7" t="s">
        <v>32</v>
      </c>
      <c r="E7" s="7" t="s">
        <v>78</v>
      </c>
      <c r="F7" s="7" t="s">
        <v>79</v>
      </c>
      <c r="G7" s="7" t="s">
        <v>80</v>
      </c>
      <c r="H7" s="7" t="s">
        <v>81</v>
      </c>
      <c r="I7" s="7" t="s">
        <v>37</v>
      </c>
      <c r="J7" s="7" t="s">
        <v>82</v>
      </c>
      <c r="K7" s="11" t="s">
        <v>83</v>
      </c>
      <c r="L7" s="7" t="s">
        <v>84</v>
      </c>
      <c r="M7" s="9" t="s">
        <v>41</v>
      </c>
      <c r="N7" s="9" t="s">
        <v>42</v>
      </c>
      <c r="O7" s="9" t="s">
        <v>41</v>
      </c>
      <c r="P7" s="9" t="s">
        <v>41</v>
      </c>
      <c r="Q7" s="9" t="s">
        <v>41</v>
      </c>
      <c r="R7" s="9" t="s">
        <v>41</v>
      </c>
      <c r="S7" s="9" t="s">
        <v>43</v>
      </c>
      <c r="T7" s="10"/>
      <c r="U7" s="9" t="s">
        <v>44</v>
      </c>
    </row>
    <row r="8" ht="150" customHeight="1" spans="1:22">
      <c r="A8" s="7" t="s">
        <v>85</v>
      </c>
      <c r="B8" s="7" t="s">
        <v>86</v>
      </c>
      <c r="C8" s="7" t="s">
        <v>31</v>
      </c>
      <c r="D8" s="7" t="s">
        <v>32</v>
      </c>
      <c r="E8" s="7" t="s">
        <v>87</v>
      </c>
      <c r="F8" s="7" t="s">
        <v>88</v>
      </c>
      <c r="G8" s="7" t="s">
        <v>89</v>
      </c>
      <c r="H8" s="7" t="s">
        <v>90</v>
      </c>
      <c r="I8" s="7" t="s">
        <v>37</v>
      </c>
      <c r="J8" s="7" t="s">
        <v>91</v>
      </c>
      <c r="K8" s="8" t="s">
        <v>92</v>
      </c>
      <c r="L8" s="7" t="s">
        <v>93</v>
      </c>
      <c r="M8" s="9" t="s">
        <v>41</v>
      </c>
      <c r="N8" s="9" t="s">
        <v>42</v>
      </c>
      <c r="O8" s="9" t="s">
        <v>41</v>
      </c>
      <c r="P8" s="9" t="s">
        <v>41</v>
      </c>
      <c r="Q8" s="9" t="s">
        <v>41</v>
      </c>
      <c r="R8" s="9" t="s">
        <v>41</v>
      </c>
      <c r="S8" s="9" t="s">
        <v>43</v>
      </c>
      <c r="T8" s="10"/>
      <c r="U8" s="9" t="s">
        <v>44</v>
      </c>
    </row>
    <row r="9" ht="150" customHeight="1" spans="1:22">
      <c r="A9" s="7" t="s">
        <v>94</v>
      </c>
      <c r="B9" s="7" t="s">
        <v>30</v>
      </c>
      <c r="C9" s="7" t="s">
        <v>31</v>
      </c>
      <c r="D9" s="7" t="s">
        <v>32</v>
      </c>
      <c r="E9" s="7" t="s">
        <v>95</v>
      </c>
      <c r="F9" s="7" t="s">
        <v>96</v>
      </c>
      <c r="G9" s="7" t="s">
        <v>97</v>
      </c>
      <c r="H9" s="7" t="s">
        <v>98</v>
      </c>
      <c r="I9" s="7" t="s">
        <v>37</v>
      </c>
      <c r="J9" s="7" t="s">
        <v>99</v>
      </c>
      <c r="K9" s="11" t="s">
        <v>100</v>
      </c>
      <c r="L9" s="7" t="s">
        <v>101</v>
      </c>
      <c r="M9" s="9" t="s">
        <v>41</v>
      </c>
      <c r="N9" s="9" t="s">
        <v>42</v>
      </c>
      <c r="O9" s="9" t="s">
        <v>41</v>
      </c>
      <c r="P9" s="9" t="s">
        <v>41</v>
      </c>
      <c r="Q9" s="9" t="s">
        <v>41</v>
      </c>
      <c r="R9" s="9" t="s">
        <v>41</v>
      </c>
      <c r="S9" s="9" t="s">
        <v>43</v>
      </c>
      <c r="T9" s="10"/>
      <c r="U9" s="9" t="s">
        <v>44</v>
      </c>
    </row>
    <row r="10" ht="150" customHeight="1" spans="1:22">
      <c r="A10" s="7" t="s">
        <v>102</v>
      </c>
      <c r="B10" s="7" t="s">
        <v>103</v>
      </c>
      <c r="C10" s="7" t="s">
        <v>31</v>
      </c>
      <c r="D10" s="7" t="s">
        <v>32</v>
      </c>
      <c r="E10" s="7" t="s">
        <v>104</v>
      </c>
      <c r="F10" s="7" t="s">
        <v>105</v>
      </c>
      <c r="G10" s="7" t="s">
        <v>106</v>
      </c>
      <c r="H10" s="7" t="s">
        <v>107</v>
      </c>
      <c r="I10" s="7" t="s">
        <v>37</v>
      </c>
      <c r="J10" s="7" t="s">
        <v>108</v>
      </c>
      <c r="K10" s="11" t="s">
        <v>109</v>
      </c>
      <c r="L10" s="7" t="s">
        <v>110</v>
      </c>
      <c r="M10" s="9" t="s">
        <v>41</v>
      </c>
      <c r="N10" s="9" t="s">
        <v>42</v>
      </c>
      <c r="O10" s="9" t="s">
        <v>111</v>
      </c>
      <c r="P10" s="9" t="s">
        <v>41</v>
      </c>
      <c r="Q10" s="9" t="s">
        <v>41</v>
      </c>
      <c r="R10" s="9" t="s">
        <v>41</v>
      </c>
      <c r="S10" s="9" t="s">
        <v>112</v>
      </c>
      <c r="T10" s="10" t="s">
        <v>113</v>
      </c>
      <c r="U10" s="9" t="s">
        <v>44</v>
      </c>
    </row>
    <row r="11" ht="150" customHeight="1" spans="1:22">
      <c r="A11" s="7" t="s">
        <v>114</v>
      </c>
      <c r="B11" s="7" t="s">
        <v>103</v>
      </c>
      <c r="C11" s="7" t="s">
        <v>31</v>
      </c>
      <c r="D11" s="7" t="s">
        <v>32</v>
      </c>
      <c r="E11" s="7" t="s">
        <v>115</v>
      </c>
      <c r="F11" s="7" t="s">
        <v>116</v>
      </c>
      <c r="G11" s="7" t="s">
        <v>117</v>
      </c>
      <c r="H11" s="7" t="s">
        <v>118</v>
      </c>
      <c r="I11" s="7" t="s">
        <v>37</v>
      </c>
      <c r="J11" s="7" t="s">
        <v>119</v>
      </c>
      <c r="K11" s="11" t="s">
        <v>120</v>
      </c>
      <c r="L11" s="7" t="s">
        <v>121</v>
      </c>
      <c r="M11" s="9" t="s">
        <v>41</v>
      </c>
      <c r="N11" s="9" t="s">
        <v>42</v>
      </c>
      <c r="O11" s="9" t="s">
        <v>41</v>
      </c>
      <c r="P11" s="9" t="s">
        <v>41</v>
      </c>
      <c r="Q11" s="9" t="s">
        <v>41</v>
      </c>
      <c r="R11" s="9" t="s">
        <v>41</v>
      </c>
      <c r="S11" s="9" t="s">
        <v>43</v>
      </c>
      <c r="T11" s="10"/>
      <c r="U11" s="9" t="s">
        <v>44</v>
      </c>
    </row>
    <row r="12" ht="150" customHeight="1" spans="1:22">
      <c r="A12" s="7" t="s">
        <v>122</v>
      </c>
      <c r="B12" s="7" t="s">
        <v>30</v>
      </c>
      <c r="C12" s="7" t="s">
        <v>31</v>
      </c>
      <c r="D12" s="7" t="s">
        <v>32</v>
      </c>
      <c r="E12" s="7" t="s">
        <v>123</v>
      </c>
      <c r="F12" s="7" t="s">
        <v>124</v>
      </c>
      <c r="G12" s="7" t="s">
        <v>125</v>
      </c>
      <c r="H12" s="7" t="s">
        <v>126</v>
      </c>
      <c r="I12" s="7" t="s">
        <v>37</v>
      </c>
      <c r="J12" s="7" t="s">
        <v>127</v>
      </c>
      <c r="K12" s="11" t="s">
        <v>128</v>
      </c>
      <c r="L12" s="7" t="s">
        <v>129</v>
      </c>
      <c r="M12" s="9" t="s">
        <v>41</v>
      </c>
      <c r="N12" s="9" t="s">
        <v>42</v>
      </c>
      <c r="O12" s="9" t="s">
        <v>41</v>
      </c>
      <c r="P12" s="9" t="s">
        <v>41</v>
      </c>
      <c r="Q12" s="9" t="s">
        <v>41</v>
      </c>
      <c r="R12" s="9" t="s">
        <v>41</v>
      </c>
      <c r="S12" s="9" t="s">
        <v>43</v>
      </c>
      <c r="T12" s="10"/>
      <c r="U12" s="9" t="s">
        <v>44</v>
      </c>
    </row>
    <row r="13" ht="150" customHeight="1" spans="1:22">
      <c r="A13" s="7" t="s">
        <v>130</v>
      </c>
      <c r="B13" s="7" t="s">
        <v>103</v>
      </c>
      <c r="C13" s="7" t="s">
        <v>31</v>
      </c>
      <c r="D13" s="7" t="s">
        <v>131</v>
      </c>
      <c r="E13" s="7" t="s">
        <v>132</v>
      </c>
      <c r="F13" s="7" t="s">
        <v>133</v>
      </c>
      <c r="G13" s="7" t="s">
        <v>134</v>
      </c>
      <c r="H13" s="7" t="s">
        <v>135</v>
      </c>
      <c r="I13" s="7" t="s">
        <v>136</v>
      </c>
      <c r="J13" s="7" t="s">
        <v>137</v>
      </c>
      <c r="K13" s="11" t="s">
        <v>138</v>
      </c>
      <c r="L13" s="7" t="s">
        <v>139</v>
      </c>
      <c r="M13" s="9" t="s">
        <v>41</v>
      </c>
      <c r="N13" s="9" t="s">
        <v>42</v>
      </c>
      <c r="O13" s="9" t="s">
        <v>111</v>
      </c>
      <c r="P13" s="9" t="s">
        <v>41</v>
      </c>
      <c r="Q13" s="9" t="s">
        <v>41</v>
      </c>
      <c r="R13" s="9" t="s">
        <v>41</v>
      </c>
      <c r="S13" s="9" t="s">
        <v>112</v>
      </c>
      <c r="T13" s="10" t="s">
        <v>140</v>
      </c>
      <c r="U13" s="9" t="s">
        <v>44</v>
      </c>
    </row>
    <row r="14" ht="150" customHeight="1" spans="1:22">
      <c r="A14" s="7" t="s">
        <v>141</v>
      </c>
      <c r="B14" s="7" t="s">
        <v>142</v>
      </c>
      <c r="C14" s="7" t="s">
        <v>31</v>
      </c>
      <c r="D14" s="7" t="s">
        <v>32</v>
      </c>
      <c r="E14" s="7" t="s">
        <v>143</v>
      </c>
      <c r="F14" s="7" t="s">
        <v>144</v>
      </c>
      <c r="G14" s="7" t="s">
        <v>145</v>
      </c>
      <c r="H14" s="7" t="s">
        <v>146</v>
      </c>
      <c r="I14" s="7" t="s">
        <v>37</v>
      </c>
      <c r="J14" s="7" t="s">
        <v>147</v>
      </c>
      <c r="K14" s="11" t="s">
        <v>148</v>
      </c>
      <c r="L14" s="7" t="s">
        <v>149</v>
      </c>
      <c r="M14" s="9" t="s">
        <v>41</v>
      </c>
      <c r="N14" s="9" t="s">
        <v>42</v>
      </c>
      <c r="O14" s="9" t="s">
        <v>41</v>
      </c>
      <c r="P14" s="9" t="s">
        <v>41</v>
      </c>
      <c r="Q14" s="9" t="s">
        <v>41</v>
      </c>
      <c r="R14" s="9" t="s">
        <v>41</v>
      </c>
      <c r="S14" s="9" t="s">
        <v>43</v>
      </c>
      <c r="T14" s="10"/>
      <c r="U14" s="9" t="s">
        <v>44</v>
      </c>
    </row>
    <row r="15" ht="150" customHeight="1" spans="1:22">
      <c r="A15" s="7" t="s">
        <v>150</v>
      </c>
      <c r="B15" s="7" t="s">
        <v>103</v>
      </c>
      <c r="C15" s="7" t="s">
        <v>151</v>
      </c>
      <c r="D15" s="7" t="s">
        <v>32</v>
      </c>
      <c r="E15" s="7" t="s">
        <v>152</v>
      </c>
      <c r="F15" s="7" t="s">
        <v>153</v>
      </c>
      <c r="G15" s="7" t="s">
        <v>154</v>
      </c>
      <c r="H15" s="7" t="s">
        <v>155</v>
      </c>
      <c r="I15" s="7" t="s">
        <v>37</v>
      </c>
      <c r="J15" s="7" t="s">
        <v>156</v>
      </c>
      <c r="K15" s="11" t="s">
        <v>157</v>
      </c>
      <c r="L15" s="7" t="s">
        <v>158</v>
      </c>
      <c r="M15" s="9" t="s">
        <v>41</v>
      </c>
      <c r="N15" s="9" t="s">
        <v>42</v>
      </c>
      <c r="O15" s="9" t="s">
        <v>111</v>
      </c>
      <c r="P15" s="9" t="s">
        <v>41</v>
      </c>
      <c r="Q15" s="9" t="s">
        <v>41</v>
      </c>
      <c r="R15" s="9" t="s">
        <v>41</v>
      </c>
      <c r="S15" s="9" t="s">
        <v>112</v>
      </c>
      <c r="T15" s="10" t="s">
        <v>159</v>
      </c>
      <c r="U15" s="9" t="s">
        <v>44</v>
      </c>
    </row>
    <row r="16" ht="150" customHeight="1" spans="1:22">
      <c r="A16" s="7" t="s">
        <v>160</v>
      </c>
      <c r="B16" s="7" t="s">
        <v>86</v>
      </c>
      <c r="C16" s="7" t="s">
        <v>151</v>
      </c>
      <c r="D16" s="7" t="s">
        <v>32</v>
      </c>
      <c r="E16" s="7" t="s">
        <v>161</v>
      </c>
      <c r="F16" s="7" t="s">
        <v>162</v>
      </c>
      <c r="G16" s="7" t="s">
        <v>163</v>
      </c>
      <c r="H16" s="7" t="s">
        <v>164</v>
      </c>
      <c r="I16" s="7" t="s">
        <v>37</v>
      </c>
      <c r="J16" s="7" t="s">
        <v>165</v>
      </c>
      <c r="K16" s="8" t="s">
        <v>166</v>
      </c>
      <c r="L16" s="7" t="s">
        <v>167</v>
      </c>
      <c r="M16" s="9" t="s">
        <v>41</v>
      </c>
      <c r="N16" s="9" t="s">
        <v>41</v>
      </c>
      <c r="O16" s="9" t="s">
        <v>41</v>
      </c>
      <c r="P16" s="9" t="s">
        <v>41</v>
      </c>
      <c r="Q16" s="9" t="s">
        <v>41</v>
      </c>
      <c r="R16" s="9" t="s">
        <v>41</v>
      </c>
      <c r="S16" s="9" t="s">
        <v>43</v>
      </c>
      <c r="T16" s="10"/>
      <c r="U16" s="9" t="s">
        <v>44</v>
      </c>
    </row>
    <row r="17" ht="150" customHeight="1" spans="1:21">
      <c r="A17" s="7" t="s">
        <v>168</v>
      </c>
      <c r="B17" s="7" t="s">
        <v>169</v>
      </c>
      <c r="C17" s="7" t="s">
        <v>151</v>
      </c>
      <c r="D17" s="7" t="s">
        <v>170</v>
      </c>
      <c r="E17" s="7" t="s">
        <v>171</v>
      </c>
      <c r="F17" s="7" t="s">
        <v>172</v>
      </c>
      <c r="G17" s="7" t="s">
        <v>173</v>
      </c>
      <c r="H17" s="7" t="s">
        <v>174</v>
      </c>
      <c r="I17" s="7" t="s">
        <v>175</v>
      </c>
      <c r="J17" s="7" t="s">
        <v>176</v>
      </c>
      <c r="K17" s="7" t="s">
        <v>37</v>
      </c>
      <c r="L17" s="7" t="s">
        <v>177</v>
      </c>
      <c r="M17" s="9" t="s">
        <v>41</v>
      </c>
      <c r="N17" s="9" t="s">
        <v>42</v>
      </c>
      <c r="O17" s="9" t="s">
        <v>41</v>
      </c>
      <c r="P17" s="9" t="s">
        <v>41</v>
      </c>
      <c r="Q17" s="9" t="s">
        <v>41</v>
      </c>
      <c r="R17" s="9" t="s">
        <v>41</v>
      </c>
      <c r="S17" s="9" t="s">
        <v>43</v>
      </c>
      <c r="T17" s="10"/>
      <c r="U17" s="9" t="s">
        <v>44</v>
      </c>
    </row>
    <row r="18" ht="150" customHeight="1" spans="1:21">
      <c r="A18" s="7" t="s">
        <v>178</v>
      </c>
      <c r="B18" s="7" t="s">
        <v>103</v>
      </c>
      <c r="C18" s="7" t="s">
        <v>151</v>
      </c>
      <c r="D18" s="7" t="s">
        <v>32</v>
      </c>
      <c r="E18" s="7" t="s">
        <v>179</v>
      </c>
      <c r="F18" s="7" t="s">
        <v>180</v>
      </c>
      <c r="G18" s="7" t="s">
        <v>181</v>
      </c>
      <c r="H18" s="7" t="s">
        <v>182</v>
      </c>
      <c r="I18" s="7" t="s">
        <v>37</v>
      </c>
      <c r="J18" s="7" t="s">
        <v>183</v>
      </c>
      <c r="K18" s="11" t="s">
        <v>184</v>
      </c>
      <c r="L18" s="7" t="s">
        <v>185</v>
      </c>
      <c r="M18" s="9" t="s">
        <v>41</v>
      </c>
      <c r="N18" s="9" t="s">
        <v>42</v>
      </c>
      <c r="O18" s="9" t="s">
        <v>111</v>
      </c>
      <c r="P18" s="9" t="s">
        <v>41</v>
      </c>
      <c r="Q18" s="9" t="s">
        <v>41</v>
      </c>
      <c r="R18" s="9" t="s">
        <v>41</v>
      </c>
      <c r="S18" s="9" t="s">
        <v>112</v>
      </c>
      <c r="T18" s="10" t="s">
        <v>186</v>
      </c>
      <c r="U18" s="9" t="s">
        <v>44</v>
      </c>
    </row>
    <row r="19" ht="150" customHeight="1" spans="1:21">
      <c r="A19" s="7" t="s">
        <v>187</v>
      </c>
      <c r="B19" s="7" t="s">
        <v>188</v>
      </c>
      <c r="C19" s="7" t="s">
        <v>31</v>
      </c>
      <c r="D19" s="7" t="s">
        <v>32</v>
      </c>
      <c r="E19" s="7" t="s">
        <v>189</v>
      </c>
      <c r="F19" s="7" t="s">
        <v>190</v>
      </c>
      <c r="G19" s="7" t="s">
        <v>191</v>
      </c>
      <c r="H19" s="7" t="s">
        <v>192</v>
      </c>
      <c r="I19" s="7" t="s">
        <v>37</v>
      </c>
      <c r="J19" s="7" t="s">
        <v>193</v>
      </c>
      <c r="K19" s="11" t="s">
        <v>194</v>
      </c>
      <c r="L19" s="7" t="s">
        <v>195</v>
      </c>
      <c r="M19" s="9" t="s">
        <v>41</v>
      </c>
      <c r="N19" s="9" t="s">
        <v>42</v>
      </c>
      <c r="O19" s="9" t="s">
        <v>41</v>
      </c>
      <c r="P19" s="9" t="s">
        <v>41</v>
      </c>
      <c r="Q19" s="9" t="s">
        <v>41</v>
      </c>
      <c r="R19" s="9" t="s">
        <v>41</v>
      </c>
      <c r="S19" s="9" t="s">
        <v>43</v>
      </c>
      <c r="T19" s="10"/>
      <c r="U19" s="9" t="s">
        <v>44</v>
      </c>
    </row>
    <row r="20" ht="150" customHeight="1" spans="1:21">
      <c r="A20" s="7" t="s">
        <v>196</v>
      </c>
      <c r="B20" s="7" t="s">
        <v>169</v>
      </c>
      <c r="C20" s="7" t="s">
        <v>151</v>
      </c>
      <c r="D20" s="7" t="s">
        <v>131</v>
      </c>
      <c r="E20" s="7" t="s">
        <v>197</v>
      </c>
      <c r="F20" s="7" t="s">
        <v>198</v>
      </c>
      <c r="G20" s="7" t="s">
        <v>199</v>
      </c>
      <c r="H20" s="7" t="s">
        <v>200</v>
      </c>
      <c r="I20" s="7" t="s">
        <v>201</v>
      </c>
      <c r="J20" s="7" t="s">
        <v>202</v>
      </c>
      <c r="K20" s="8" t="s">
        <v>203</v>
      </c>
      <c r="L20" s="7" t="s">
        <v>204</v>
      </c>
      <c r="M20" s="9" t="s">
        <v>41</v>
      </c>
      <c r="N20" s="9" t="s">
        <v>42</v>
      </c>
      <c r="O20" s="9" t="s">
        <v>41</v>
      </c>
      <c r="P20" s="9" t="s">
        <v>41</v>
      </c>
      <c r="Q20" s="9" t="s">
        <v>41</v>
      </c>
      <c r="R20" s="9" t="s">
        <v>41</v>
      </c>
      <c r="S20" s="9" t="s">
        <v>43</v>
      </c>
      <c r="T20" s="10"/>
      <c r="U20" s="9" t="s">
        <v>44</v>
      </c>
    </row>
    <row r="21" ht="150" customHeight="1" spans="1:21">
      <c r="A21" s="7" t="s">
        <v>205</v>
      </c>
      <c r="B21" s="7" t="s">
        <v>30</v>
      </c>
      <c r="C21" s="7" t="s">
        <v>31</v>
      </c>
      <c r="D21" s="7" t="s">
        <v>32</v>
      </c>
      <c r="E21" s="7" t="s">
        <v>206</v>
      </c>
      <c r="F21" s="7" t="s">
        <v>207</v>
      </c>
      <c r="G21" s="7" t="s">
        <v>208</v>
      </c>
      <c r="H21" s="7" t="s">
        <v>209</v>
      </c>
      <c r="I21" s="7" t="s">
        <v>37</v>
      </c>
      <c r="J21" s="7" t="s">
        <v>210</v>
      </c>
      <c r="K21" s="11" t="s">
        <v>211</v>
      </c>
      <c r="L21" s="7" t="s">
        <v>212</v>
      </c>
      <c r="M21" s="9" t="s">
        <v>41</v>
      </c>
      <c r="N21" s="9" t="s">
        <v>42</v>
      </c>
      <c r="O21" s="9" t="s">
        <v>41</v>
      </c>
      <c r="P21" s="9" t="s">
        <v>41</v>
      </c>
      <c r="Q21" s="9" t="s">
        <v>41</v>
      </c>
      <c r="R21" s="9" t="s">
        <v>41</v>
      </c>
      <c r="S21" s="9" t="s">
        <v>43</v>
      </c>
      <c r="T21" s="10"/>
      <c r="U21" s="9" t="s">
        <v>44</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5"/>
  <sheetViews>
    <sheetView tabSelected="1" workbookViewId="0">
      <selection activeCell="A1" sqref="A1:B5"/>
    </sheetView>
  </sheetViews>
  <sheetFormatPr defaultColWidth="9" defaultRowHeight="14.4" outlineLevelRow="4" outlineLevelCol="1"/>
  <cols>
    <col min="1" max="1" width="28" customWidth="1"/>
  </cols>
  <sheetData>
    <row r="1" spans="1:2">
      <c r="A1" s="1" t="s">
        <v>28</v>
      </c>
      <c r="B1" s="1" t="s">
        <v>44</v>
      </c>
    </row>
    <row r="2" spans="1:2">
      <c r="A2" s="1" t="s">
        <v>213</v>
      </c>
      <c r="B2" s="1">
        <v>20</v>
      </c>
    </row>
    <row r="3" spans="1:2">
      <c r="A3" s="1" t="s">
        <v>43</v>
      </c>
      <c r="B3" s="1">
        <f>COUNTIF(Review!S2:S21,"Passed")</f>
        <v>16</v>
      </c>
    </row>
    <row r="4" spans="1:2">
      <c r="A4" s="1" t="s">
        <v>112</v>
      </c>
      <c r="B4" s="1">
        <f>COUNTIF(Review!S2:S21,"Passed after modification")</f>
        <v>4</v>
      </c>
    </row>
    <row r="5" spans="1:2">
      <c r="A5" s="1" t="s">
        <v>214</v>
      </c>
      <c r="B5" s="1">
        <f>COUNTIF(Review!S2:S21,"Rejected")</f>
        <v>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Instructions</vt:lpstr>
      <vt:lpstr>Review</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飞龙宝宝</cp:lastModifiedBy>
  <dcterms:created xsi:type="dcterms:W3CDTF">2026-10-23T03:38:00Z</dcterms:created>
  <dcterms:modified xsi:type="dcterms:W3CDTF">2026-10-30T02:49:40Z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FEF00B86272B4661AA6C28FB77C051F3_12</vt:lpwstr>
  </property>
  <property fmtid="{D5CDD505-2E9C-101B-9397-08002B2CF9AE}" pid="3" name="KSOProductBuildVer">
    <vt:lpwstr>2052-12.1.0.29161</vt:lpwstr>
  </property>
  <property fmtid="{D5CDD505-2E9C-101B-9397-08002B2CF9AE}" pid="4" name="CalculationRule">
    <vt:i4>0</vt:i4>
  </property>
</Properties>
</file>