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Test set review" sheetId="2" state="visible" r:id="rId2"/>
    <sheet xmlns:r="http://schemas.openxmlformats.org/officeDocument/2006/relationships" name="Development set review"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3"/>
    </font>
    <font>
      <name val="Calibri"/>
      <b val="1"/>
      <sz val="11"/>
    </font>
    <font>
      <name val="Calibri"/>
      <color theme="1"/>
      <sz val="11"/>
    </font>
    <font>
      <name val="Calibri"/>
      <color rgb="FF0563C1"/>
      <sz val="11"/>
    </font>
    <font>
      <name val="Calibri"/>
      <family val="2"/>
      <color theme="1"/>
      <sz val="11"/>
    </font>
  </fonts>
  <fills count="4">
    <fill>
      <patternFill/>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min="1" max="1"/>
  </cols>
  <sheetData>
    <row r="1">
      <c r="A1" s="1" t="inlineStr">
        <is>
          <t>Review workbook (read-only reference; make changes in the question bank workbook)</t>
        </is>
      </c>
    </row>
    <row r="2"/>
    <row r="3">
      <c r="A3" t="inlineStr">
        <is>
          <t>One question per row. Left: question and reference answer; middle: cited passages and URLs; right: review columns.</t>
        </is>
      </c>
    </row>
    <row r="4">
      <c r="A4" t="inlineStr">
        <is>
          <t>Check the reference answer sentence by sentence against the cited passages; open the original URL for full context when needed.</t>
        </is>
      </c>
    </row>
    <row r="5">
      <c r="A5" t="inlineStr">
        <is>
          <t>Six checks, fill ✓ / ✗ / NA: 1 facts correct  2 numbers and units  3 qualifications kept  4 not beyond the source  5 required points sensible  6 question clear, no answer hints</t>
        </is>
      </c>
    </row>
    <row r="6">
      <c r="A6" t="inlineStr">
        <is>
          <t>"Other retrieved passages" lists passages in the top 6 of vector retrieval that are not cited: if consistent with the reference answer they may be added to chunk_ids; conflicts are recorded in the change notes.</t>
        </is>
      </c>
    </row>
    <row r="7">
      <c r="A7" t="inlineStr">
        <is>
          <t>For boundary questions, also confirm that the corpus really contains nothing that answers the "part to decline".</t>
        </is>
      </c>
    </row>
    <row r="8">
      <c r="A8" t="inlineStr">
        <is>
          <t>Review result: Passed / Passed after modification / Rejected. For "Passed after modification", describe the change and update the question bank accordingly (keep required_points consistent with the reference answer, version + 1).</t>
        </is>
      </c>
    </row>
    <row r="9">
      <c r="A9" t="inlineStr">
        <is>
          <t>The "Summary" sheet counts the results automatically, used in the report for the modification rate of LLM-drafted questions.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Question type</t>
        </is>
      </c>
      <c r="C1" s="2" t="inlineStr">
        <is>
          <t>Region</t>
        </is>
      </c>
      <c r="D1" s="2" t="inlineStr">
        <is>
          <t>Answerability</t>
        </is>
      </c>
      <c r="E1" s="2" t="inlineStr">
        <is>
          <t>Question</t>
        </is>
      </c>
      <c r="F1" s="2" t="inlineStr">
        <is>
          <t>Reference answer</t>
        </is>
      </c>
      <c r="G1" s="2" t="inlineStr">
        <is>
          <t>Required points</t>
        </is>
      </c>
      <c r="H1" s="2" t="inlineStr">
        <is>
          <t>Major errors</t>
        </is>
      </c>
      <c r="I1" s="2" t="inlineStr">
        <is>
          <t>Answerable / to decline</t>
        </is>
      </c>
      <c r="J1" s="2" t="inlineStr">
        <is>
          <t>Cited passages (text omitted)</t>
        </is>
      </c>
      <c r="K1" s="2" t="inlineStr">
        <is>
          <t>Original URL</t>
        </is>
      </c>
      <c r="L1" s="2" t="inlineStr">
        <is>
          <t>Other retrieved passages (text omitted)</t>
        </is>
      </c>
      <c r="M1" s="3" t="inlineStr">
        <is>
          <t>1 Facts correct</t>
        </is>
      </c>
      <c r="N1" s="3" t="inlineStr">
        <is>
          <t>2 Numbers and units</t>
        </is>
      </c>
      <c r="O1" s="3" t="inlineStr">
        <is>
          <t>3 Qualifications kept</t>
        </is>
      </c>
      <c r="P1" s="3" t="inlineStr">
        <is>
          <t>4 Not beyond the source</t>
        </is>
      </c>
      <c r="Q1" s="3" t="inlineStr">
        <is>
          <t>5 Required points sensible</t>
        </is>
      </c>
      <c r="R1" s="3" t="inlineStr">
        <is>
          <t>6 Question clear</t>
        </is>
      </c>
      <c r="S1" s="3" t="inlineStr">
        <is>
          <t>Review result</t>
        </is>
      </c>
      <c r="T1" s="3" t="inlineStr">
        <is>
          <t>Change notes</t>
        </is>
      </c>
      <c r="U1" s="3" t="inlineStr">
        <is>
          <t>Reviewer</t>
        </is>
      </c>
      <c r="V1" s="3" t="inlineStr">
        <is>
          <t>Time (minutes)</t>
        </is>
      </c>
    </row>
    <row r="2" ht="150" customHeight="1">
      <c r="A2" s="4" t="inlineStr">
        <is>
          <t>T002</t>
        </is>
      </c>
      <c r="B2" s="4" t="inlineStr">
        <is>
          <t>symptoms_identification</t>
        </is>
      </c>
      <c r="C2" s="4" t="inlineStr">
        <is>
          <t>unspecified</t>
        </is>
      </c>
      <c r="D2" s="4" t="inlineStr">
        <is>
          <t>answerable</t>
        </is>
      </c>
      <c r="E2" s="4" t="inlineStr">
        <is>
          <t>In winter I see dark, sunken, cracked patches on some branches of my apple trees. What could they be?</t>
        </is>
      </c>
      <c r="F2" s="4" t="inlineStr">
        <is>
          <t>Several canker diseases produce this, so look closely before deciding. Fire blight overwintering cankers can be black, grey, violet or brown with dry sunken tissue, and reddish flecking under the bark at the edge of an active canker. European canker starts as small sunken areas at leaf scars, buds or wounds and develops concentric rings of cracking with swelling of the stem around it. Apple anthracnose cankers are elongated, sunken, orange to brown, with cracking around the margin. Black rot cankers are reddish brown and slightly sunken, sometimes expanding each year. In all cases cankers are inoculum sources, so the general response is to prune out cankered wood well into healthy tissue and destroy it.</t>
        </is>
      </c>
      <c r="G2" s="4" t="inlineStr">
        <is>
          <t>• recognises several canker causes rather than one definite diagnosis
• gives at least two distinguishing features (e.g. concentric rings at leaf scars for European canker; reddish flecking at margin for fire blight; orange-brown elongated for anthracnose)
• cankers act as inoculum sources
• prune out cankered wood into healthy tissue and destroy it</t>
        </is>
      </c>
      <c r="H2" s="4" t="inlineStr">
        <is>
          <t>• gives a single definitive diagnosis without distinguishing features
• says cankers can be left because they are harmless</t>
        </is>
      </c>
      <c r="I2" s="4" t="inlineStr"/>
      <c r="J2" s="4" t="inlineStr">
        <is>
          <t>[S015:web:4 | Fire Blight of Apple and Pear | Overwintering cankers | United States - Pacific Northwest | date unknown]
[S004:web:1 | European Canker | Symptoms and Signs | United States - California | date Text Updated: 03/09; Treatment Table Updated: 10/15]
[S279:web:3 | European canker | Damage | New Zealand | date unknown]
[S072:web:3 | Apple Anthracnose | Apple Anthracnose Canker | United States - Pacific Northwest | date Published: June 2016]
[S248:web:2 | Pome Fruit Disease - Black Rot and Frogeye Leaf Spot | Symptoms | United States - Pennsylvania | date June 26, 2024]
[S279:web:6 | European canker | Cultural control | New Zealand | date unknown]
[S072:web:4 | Apple Anthracnose | Management in orchard | United States - Pacific Northwest | date Published: June 2016]
[passage text omitted for copyright; see the chunk ids above and data/registers/source_register.json]</t>
        </is>
      </c>
      <c r="K2" s="5" t="inlineStr">
        <is>
          <t>https://treefruit.wsu.edu/crop-protection/disease-management/fire-blight/
https://ipm.ucanr.edu/agriculture/apple/european-canker/
https://www.hortinfo.co.nz/textfiles/pdh301_59.htm
https://treefruit.wsu.edu/crop-protection/disease-management/apple-anthracnose/
https://extension.psu.edu/pome-fruit-disease-black-rot-and-frogeye-leaf-spot</t>
        </is>
      </c>
      <c r="L2" s="4" t="inlineStr">
        <is>
          <t>Retrieval rank of cited passage: 4
#1 S003:web:2 (0.733)Powdery Mildew | Comments on the Disease
#2 S001:web:1 (0.723)Apple Scab | Symptoms and Signs
#3 S250:web:2 (0.722)Pome Fruit Disease - Rust | Symptoms
#4 S073:web:2 (0.709)Apple Replant Disease | Symptoms
#5 S209:web:2 (0.707)Apple Disease - Marssonina Blotch | Marssonina Blotch Symptoms on Apple Trees
[passage text omitted for copyright; see the chunk ids above and data/registers/source_register.json]</t>
        </is>
      </c>
      <c r="M2" t="inlineStr">
        <is>
          <t>✓</t>
        </is>
      </c>
      <c r="N2" t="inlineStr">
        <is>
          <t>NA</t>
        </is>
      </c>
      <c r="O2" t="inlineStr">
        <is>
          <t>✓</t>
        </is>
      </c>
      <c r="P2" t="inlineStr">
        <is>
          <t>✓</t>
        </is>
      </c>
      <c r="Q2" t="inlineStr">
        <is>
          <t>✓</t>
        </is>
      </c>
      <c r="R2" t="inlineStr">
        <is>
          <t>✓</t>
        </is>
      </c>
      <c r="S2" t="inlineStr">
        <is>
          <t>Passed</t>
        </is>
      </c>
      <c r="T2" t="inlineStr">
        <is>
          <t>Evidence and answer are broadly consistent; key symptoms, identification and management points are clear.</t>
        </is>
      </c>
      <c r="U2" t="inlineStr">
        <is>
          <t>Dongyang Chen</t>
        </is>
      </c>
    </row>
    <row r="3" ht="150" customHeight="1">
      <c r="A3" s="4" t="inlineStr">
        <is>
          <t>T005</t>
        </is>
      </c>
      <c r="B3" s="4" t="inlineStr">
        <is>
          <t>symptoms_identification</t>
        </is>
      </c>
      <c r="C3" s="4" t="inlineStr">
        <is>
          <t>unspecified</t>
        </is>
      </c>
      <c r="D3" s="4" t="inlineStr">
        <is>
          <t>answerable</t>
        </is>
      </c>
      <c r="E3" s="4" t="inlineStr">
        <is>
          <t>Inside my apples there are brown winding trails and the flesh is breaking down, and the skin has small dimples. What is it?</t>
        </is>
      </c>
      <c r="F3" s="4" t="inlineStr">
        <is>
          <t>This fits apple maggot (the 'railroad worm'): females lay eggs singly under the skin, causing dimpling, and the maggots tunnel through the flesh leaving brown trails; bacteria associated with the maggots make the fruit rot internally. This differs from codling moth, whose larva tunnels to the core and pushes frass out of an entry hole. Apple maggot is controlled by targeting the adult flies before egg laying, timed with traps, and by removing abandoned apple trees and dropped fruit nearby.</t>
        </is>
      </c>
      <c r="G3" s="4" t="inlineStr">
        <is>
          <t>• identifies apple maggot
• egg-laying dimples and brown winding tunnels; internal rot
• distinguishes from codling moth (core feeding, frass)
• control targets adults before egg laying; remove abandoned hosts and dropped fruit</t>
        </is>
      </c>
      <c r="H3" s="4" t="inlineStr">
        <is>
          <t>• identifies codling moth as the cause
• recommends targeting larvae inside fruit</t>
        </is>
      </c>
      <c r="I3" s="4" t="inlineStr"/>
      <c r="J3" s="4" t="inlineStr">
        <is>
          <t>[S007:web:2 | Apple Maggot | Damage | United States - California | date Text Updated: 03/09; Treatment Table Updated: 10/15]
[S077:web:1 | Apple maggot | Apple Maggot Biology | United States - Pacific Northwest | date unknown]
[S218:web:1 | Tree Fruit Insect Pest - Apple Maggot | Overview | United States - Pennsylvania | date February 25, 2026]
[S022:web:4 | Tree Fruit Insect Pest - Codling Moth | Damage | United States - Pennsylvania | date February 25, 2026]
[S218:web:6 | Tree Fruit Insect Pest - Apple Maggot | Chemical Management | United States - Pennsylvania | date February 25, 2026]
[S218:web:5 | Tree Fruit Insect Pest - Apple Maggot | Cultural Management | United States - Pennsylvania | date February 25, 2026]
[passage text omitted for copyright; see the chunk ids above and data/registers/source_register.json]</t>
        </is>
      </c>
      <c r="K3" s="5" t="inlineStr">
        <is>
          <t>https://ipm.ucanr.edu/agriculture/apple/apple-maggot/
https://treefruit.wsu.edu/crop-protection/opm/am-control_waapple-growers/
https://extension.psu.edu/tree-fruit-insect-pest-apple-maggot
https://extension.psu.edu/tree-fruit-insect-pest-codling-moth</t>
        </is>
      </c>
      <c r="L3" s="4" t="inlineStr">
        <is>
          <t>Retrieval rank of cited passage: 2
#1 S001:web:1 (0.729)Apple Scab | Symptoms and Signs
#2 S174:web:2 (0.703)Fact Sheet: Apple Scab | What does apple scab look like?
#3 S208:web:2 (0.701)Apple Disease - Core Rot | Symptoms
#4 S222:web:3 (0.699)Tree Fruit Insect Pest - European Apple Sawfly | Instars
#5 Pac2f744e6d94a879:p19:c1 (0.699)Crop Profile for Apple in Canada, 2022 (Sixth Edition, 2023) | Apple Scab (Venturia inaequalis); biology/cultural management, Canada 2023
[passage text omitted for copyright; see the chunk ids above and data/registers/source_register.json]</t>
        </is>
      </c>
      <c r="M3" t="inlineStr">
        <is>
          <t>✓</t>
        </is>
      </c>
      <c r="N3" t="inlineStr">
        <is>
          <t>NA</t>
        </is>
      </c>
      <c r="O3" t="inlineStr">
        <is>
          <t>✓</t>
        </is>
      </c>
      <c r="P3" t="inlineStr">
        <is>
          <t>✓</t>
        </is>
      </c>
      <c r="Q3" t="inlineStr">
        <is>
          <t>✓</t>
        </is>
      </c>
      <c r="R3" t="inlineStr">
        <is>
          <t>✓</t>
        </is>
      </c>
      <c r="S3" t="inlineStr">
        <is>
          <t>Passed</t>
        </is>
      </c>
      <c r="T3" t="inlineStr">
        <is>
          <t>Evidence and answer are broadly consistent; key symptoms, identification and management points are clear.</t>
        </is>
      </c>
      <c r="U3" t="inlineStr">
        <is>
          <t>Dongyang Chen</t>
        </is>
      </c>
    </row>
    <row r="4" ht="150" customHeight="1">
      <c r="A4" s="4" t="inlineStr">
        <is>
          <t>T007</t>
        </is>
      </c>
      <c r="B4" s="4" t="inlineStr">
        <is>
          <t>management_strategy</t>
        </is>
      </c>
      <c r="C4" s="4" t="inlineStr">
        <is>
          <t>unspecified</t>
        </is>
      </c>
      <c r="D4" s="4" t="inlineStr">
        <is>
          <t>answerable</t>
        </is>
      </c>
      <c r="E4" s="4" t="inlineStr">
        <is>
          <t>The shoot tips of my apple trees are covered with green aphids and the leaves are sticky with black mould. What should I do?</t>
        </is>
      </c>
      <c r="F4" s="4" t="inlineStr">
        <is>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is>
      </c>
      <c r="G4" s="4" t="inlineStr">
        <is>
          <t>• identifies green apple/spirea aphids and honeydew with sooty mould
• natural enemies often control them
• threshold-based decision considering predators (e.g. UC 60% terminals, Penn State 4.2 leaves/shoot)
• delayed dormant oil prevents early injury</t>
        </is>
      </c>
      <c r="H4" s="4" t="inlineStr">
        <is>
          <t>• recommends spraying immediately regardless of predators
• identifies them as woolly apple aphid</t>
        </is>
      </c>
      <c r="I4" s="4" t="inlineStr"/>
      <c r="J4" s="4" t="inlineStr">
        <is>
          <t>[S009:web:2 | Green Apple Aphid | Damage | United States - California | date Text Updated: 01/11; Treatment Table Updated: 10/15]
[S223:web:1 | Tree Fruit Insect Pest - Green Aphids (Apple and Spirea Aphid) | Overview | United States - Pennsylvania | date February 25, 2026]
[S009:web:3 | Green Apple Aphid | Management | United States - California | date Text Updated: 01/11; Treatment Table Updated: 10/15]
[S009:web:4 | Green Apple Aphid | Biological Control | United States - California | date Text Updated: 01/11; Treatment Table Updated: 10/15]
[S009:web:6 | Green Apple Aphid | Monitoring and Treatment Decisions | United States - California | date Text Updated: 01/11; Treatment Table Updated: 10/15]
[S223:web:4 | Tree Fruit Insect Pest - Green Aphids (Apple and Spirea Aphid) | Monitoring | United States - Pennsylvania | date February 25, 2026]
[passage text omitted for copyright; see the chunk ids above and data/registers/source_register.json]</t>
        </is>
      </c>
      <c r="K4" s="5" t="inlineStr">
        <is>
          <t>https://ipm.ucanr.edu/agriculture/apple/green-apple-aphid/
https://extension.psu.edu/tree-fruit-insect-pest-green-aphids-apple-and-spirea-aphid</t>
        </is>
      </c>
      <c r="L4" s="4" t="inlineStr">
        <is>
          <t>Retrieval rank of cited passage: 1
#1 Pc857494577bd34fb:p17:c1 (0.775)Apple IPM for Beginners | Apple scab: concern, damage and cycle
#2 S216:web:2 (0.751)Tree Fruit Insect Pest - Apple Grain Aphid | Description and Life Cycle
#3 Pc857494577bd34fb:p34:c1 (0.750)Apple IPM for Beginners | Aphids and leafhoppers
#4 S086:web:8 (0.743)Apple grain aphid | Damage
#5 S086:web:1 (0.739)Apple grain aphid | Rhopalosiphum insertum (Walker) [= fitchii (Sanderson)] (Homoptera: Aphididae)
[passage text omitted for copyright; see the chunk ids above and data/registers/source_register.json]</t>
        </is>
      </c>
      <c r="M4" t="inlineStr">
        <is>
          <t>✓</t>
        </is>
      </c>
      <c r="N4" t="inlineStr">
        <is>
          <t>NA</t>
        </is>
      </c>
      <c r="O4" t="inlineStr">
        <is>
          <t>✓</t>
        </is>
      </c>
      <c r="P4" t="inlineStr">
        <is>
          <t>✓</t>
        </is>
      </c>
      <c r="Q4" t="inlineStr">
        <is>
          <t>✓</t>
        </is>
      </c>
      <c r="R4" t="inlineStr">
        <is>
          <t>✓</t>
        </is>
      </c>
      <c r="S4" t="inlineStr">
        <is>
          <t>Passed</t>
        </is>
      </c>
      <c r="T4" t="inlineStr">
        <is>
          <t>Evidence and answer are broadly consistent; key symptoms, identification and management points are clear.</t>
        </is>
      </c>
      <c r="U4" t="inlineStr">
        <is>
          <t>Dongyang Chen</t>
        </is>
      </c>
    </row>
    <row r="5" ht="150" customHeight="1">
      <c r="A5" s="4" t="inlineStr">
        <is>
          <t>T009</t>
        </is>
      </c>
      <c r="B5" s="4" t="inlineStr">
        <is>
          <t>symptoms_identification</t>
        </is>
      </c>
      <c r="C5" s="4" t="inlineStr">
        <is>
          <t>unspecified</t>
        </is>
      </c>
      <c r="D5" s="4" t="inlineStr">
        <is>
          <t>answerable</t>
        </is>
      </c>
      <c r="E5" s="4" t="inlineStr">
        <is>
          <t>My apple leaves have lots of tiny white speckles, and small pale insects jump off when I touch the leaves. What are they?</t>
        </is>
      </c>
      <c r="F5" s="4" t="inlineStr">
        <is>
          <t>These are leafhoppers, most likely white apple leafhopper (rose leafhopper looks almost identical). Their feeding causes white or yellowish-white stippling; unlike mite feeding the spots are larger and there is no bronzing. Excrement leaves black specks on fruit that wash off, and adults are a nuisance to pickers at harvest. In Washington no fruit size or quality effect was found even at high populations. UC IPM: monitor from petal fall and treat first-generation nymphs only above about 0.5 nymphs per leaf or 30% infested leaves.</t>
        </is>
      </c>
      <c r="G5" s="4" t="inlineStr">
        <is>
          <t>• identifies leafhoppers (white apple leafhopper)
• white stippling without bronzing distinguishes from mites
• excrement specks on fruit; nuisance at harvest; limited yield impact
• threshold-based nymph treatment (e.g. 0.5 nymphs/leaf)</t>
        </is>
      </c>
      <c r="H5" s="4" t="inlineStr">
        <is>
          <t>• identifies the insects as aphids or mites
• claims leafhoppers cause major fruit loss in all cases</t>
        </is>
      </c>
      <c r="I5" s="4" t="inlineStr"/>
      <c r="J5" s="4" t="inlineStr">
        <is>
          <t>[S047:web:1 | Leafhoppers | Description of the Pest | United States - California | date Text Updated: 03/09; Treatment Table Updated: 10/15]
[S047:web:2 | Leafhoppers | Damage | United States - California | date Text Updated: 03/09; Treatment Table Updated: 10/15]
[S243:web:3 | Tree Fruit Insect Pest - White Apple Leafhopper | Injury | United States - Pennsylvania | date November 1, 2023]
[S158:web:7 | White apple leafhopper | Damage | United States - Pacific Northwest | date by Elizabeth H. Beers and Erwin A. Elsner, originally published 1993]
[S158:web:8 | White apple leafhopper | Damage | United States - Pacific Northwest | date by Elizabeth H. Beers and Erwin A. Elsner, originally published 1993]
[S047:web:5 | Leafhoppers | Monitoring and Treatment Decisions | United States - California | date Text Updated: 03/09; Treatment Table Updated: 10/15]
[passage text omitted for copyright; see the chunk ids above and data/registers/source_register.json]</t>
        </is>
      </c>
      <c r="K5" s="5" t="inlineStr">
        <is>
          <t>https://ipm.ucanr.edu/agriculture/apple/leafhoppers/
https://extension.psu.edu/tree-fruit-insect-pest-white-apple-leafhopper
https://treefruit.wsu.edu/crop-protection/opm/white-apple-leafhopper/</t>
        </is>
      </c>
      <c r="L5" s="4" t="inlineStr">
        <is>
          <t>Retrieval rank of cited passage: 2
#1 S087:web:7 (0.765)Apple leafcurling midge | Adult
#2 S266:web:4 (0.733)Apple leaf-curling midge (ALCM) | Life stages
#3 S243:web:1 (0.733)Tree Fruit Insect Pest - White Apple Leafhopper | Overview
[passage text omitted for copyright; see the chunk ids above and data/registers/source_register.json]</t>
        </is>
      </c>
      <c r="M5" t="inlineStr">
        <is>
          <t>✓</t>
        </is>
      </c>
      <c r="N5" t="inlineStr">
        <is>
          <t>NA</t>
        </is>
      </c>
      <c r="O5" t="inlineStr">
        <is>
          <t>✓</t>
        </is>
      </c>
      <c r="P5" t="inlineStr">
        <is>
          <t>✓</t>
        </is>
      </c>
      <c r="Q5" t="inlineStr">
        <is>
          <t>✓</t>
        </is>
      </c>
      <c r="R5" t="inlineStr">
        <is>
          <t>✓</t>
        </is>
      </c>
      <c r="S5" t="inlineStr">
        <is>
          <t>Passed</t>
        </is>
      </c>
      <c r="T5" t="inlineStr">
        <is>
          <t>Evidence and answer are broadly consistent; key symptoms, identification and management points are clear.</t>
        </is>
      </c>
      <c r="U5" t="inlineStr">
        <is>
          <t>Dongyang Chen</t>
        </is>
      </c>
    </row>
    <row r="6" ht="150" customHeight="1">
      <c r="A6" s="4" t="inlineStr">
        <is>
          <t>T012</t>
        </is>
      </c>
      <c r="B6" s="4" t="inlineStr">
        <is>
          <t>symptoms_identification</t>
        </is>
      </c>
      <c r="C6" s="4" t="inlineStr">
        <is>
          <t>unspecified</t>
        </is>
      </c>
      <c r="D6" s="4" t="inlineStr">
        <is>
          <t>answerable</t>
        </is>
      </c>
      <c r="E6" s="4" t="inlineStr">
        <is>
          <t>Some apples have sunken round brown spots with pinkish ooze, and the rot goes into the fruit in a cone shape. What is it?</t>
        </is>
      </c>
      <c r="F6" s="4" t="inlineStr">
        <is>
          <t>This is bitter rot (Colletotrichum): sunken circular brown spots, often in concentric rings with small black dots, oozing a salmon-pink mass of spores, and a rot that progresses to the core in a V or cone shape; fruit later shrivel into mummies. It is favoured by high temperatures and humidity. Black rot differs: usually one spot per fruit and the decay is not cone-shaped. Prevention: remove dead limbs and mummified fruit (overwintering sites), keep trees vigorous, and avoid highly susceptible varieties.</t>
        </is>
      </c>
      <c r="G6" s="4" t="inlineStr">
        <is>
          <t>• identifies bitter rot
• salmon-pink spore ooze and cone/V-shaped rot
• distinguishes from black rot
• sanitation: remove mummies and dead wood; warm humid conditions favour it</t>
        </is>
      </c>
      <c r="H6" s="4" t="inlineStr">
        <is>
          <t>• diagnoses bitter pit (a physiological disorder)
• says the decay is limited to the skin</t>
        </is>
      </c>
      <c r="I6" s="4" t="inlineStr"/>
      <c r="J6" s="4" t="inlineStr">
        <is>
          <t>[S179:web:2 | Fact Sheet: Bitter Rot | What does bitter rot look like? | United States | date unknown]
[S179:web:1 | Fact Sheet: Bitter Rot | What is bitter rot? | United States | date unknown]
[S179:web:3 | Fact Sheet: Bitter Rot | Where does bitter rot come from? | United States | date unknown]
[S179:web:4 | Fact Sheet: Bitter Rot | How do I prevent bitter rot? | United States | date unknown]
[Pac2f744e6d94a879:p23:c1 | Crop Profile for Apple in Canada, 2022 (Sixth Edition, 2023) | Bitter Rot and Glomerella Leaf Blotch (Colletotrichum spp.); biology/cultural management, Canada 2023 | Canada | date 2023]
[S248:web:2 | Pome Fruit Disease - Black Rot and Frogeye Leaf Spot | Symptoms | United States - Pennsylvania | date June 26, 2024]
[passage text omitted for copyright; see the chunk ids above and data/registers/source_register.json]</t>
        </is>
      </c>
      <c r="K6" s="5" t="inlineStr">
        <is>
          <t>https://blogs.cornell.edu/applevarietydatabase/fact-sheet-bitter-rot/
https://publications.gc.ca/collections/collection_2023/aac-aafc/A118-10-7-2022-eng.pdf
https://extension.psu.edu/pome-fruit-disease-black-rot-and-frogeye-leaf-spot</t>
        </is>
      </c>
      <c r="L6" s="4" t="inlineStr">
        <is>
          <t>Retrieval rank of cited passage: 2
#1 S072:web:6 (0.742)Apple Anthracnose | Bull’s-eye Rot
#2 S185:web:2 (0.741)Fact Sheet: White Rot | What does White Rot look like?
#3 S185:web:1 (0.732)Fact Sheet: White Rot | What is White Rot?
#4 Pfad1d86df7e72095:p3:c1 (0.730)Apple Anthracnose | Apple anthracnose: symptoms, cycle and cultural management
[passage text omitted for copyright; see the chunk ids above and data/registers/source_register.json]</t>
        </is>
      </c>
      <c r="M6" t="inlineStr">
        <is>
          <t>✓</t>
        </is>
      </c>
      <c r="N6" t="inlineStr">
        <is>
          <t>NA</t>
        </is>
      </c>
      <c r="O6" t="inlineStr">
        <is>
          <t>✓</t>
        </is>
      </c>
      <c r="P6" t="inlineStr">
        <is>
          <t>✓</t>
        </is>
      </c>
      <c r="Q6" t="inlineStr">
        <is>
          <t>✓</t>
        </is>
      </c>
      <c r="R6" t="inlineStr">
        <is>
          <t>✓</t>
        </is>
      </c>
      <c r="S6" t="inlineStr">
        <is>
          <t>Passed</t>
        </is>
      </c>
      <c r="T6" t="inlineStr">
        <is>
          <t>Evidence and answer are broadly consistent; key symptoms, identification and management points are clear.</t>
        </is>
      </c>
      <c r="U6" t="inlineStr">
        <is>
          <t>Dongyang Chen</t>
        </is>
      </c>
    </row>
    <row r="7" ht="150" customHeight="1">
      <c r="A7" s="4" t="inlineStr">
        <is>
          <t>T015</t>
        </is>
      </c>
      <c r="B7" s="4" t="inlineStr">
        <is>
          <t>symptoms_identification</t>
        </is>
      </c>
      <c r="C7" s="4" t="inlineStr">
        <is>
          <t>unspecified</t>
        </is>
      </c>
      <c r="D7" s="4" t="inlineStr">
        <is>
          <t>answerable</t>
        </is>
      </c>
      <c r="E7" s="4" t="inlineStr">
        <is>
          <t>Some branches have sunken cankers with rings around buds and leaf scars, and the bark is flaky in the centre. What is it?</t>
        </is>
      </c>
      <c r="F7" s="4" t="inlineStr">
        <is>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is>
      </c>
      <c r="G7" s="4" t="inlineStr">
        <is>
          <t>• identifies European canker
• sunken areas at buds/leaf scars with concentric rings; white spores or red fruiting bodies
• enters via leaf scars and wounds; kills branches
• prune out infected wood below the canker and destroy it</t>
        </is>
      </c>
      <c r="H7" s="4" t="inlineStr">
        <is>
          <t>• diagnoses fire blight without considering the ring pattern
• says the canker will heal by itself</t>
        </is>
      </c>
      <c r="I7" s="4" t="inlineStr"/>
      <c r="J7" s="4" t="inlineStr">
        <is>
          <t>[S279:web:3 | European canker | Damage | New Zealand | date unknown]
[S200:web:1 | European canker | What does it look like? | New Zealand | date unknown]
[S004:web:1 | European Canker | Symptoms and Signs | United States - California | date Text Updated: 03/09; Treatment Table Updated: 10/15]
[S279:web:4 | European canker | Sites of infection | New Zealand | date unknown]
[S004:web:3 | European Canker | Management | United States - California | date Text Updated: 03/09; Treatment Table Updated: 10/15]
[S279:web:6 | European canker | Cultural control | New Zealand | date unknown]
[passage text omitted for copyright; see the chunk ids above and data/registers/source_register.json]</t>
        </is>
      </c>
      <c r="K7" s="5" t="inlineStr">
        <is>
          <t>https://www.hortinfo.co.nz/textfiles/pdh301_59.htm
https://www.hbrc.govt.nz/environment/pest-control/pest-hub/pests/pest/60?type=2
https://ipm.ucanr.edu/agriculture/apple/european-canker/</t>
        </is>
      </c>
      <c r="L7" s="4" t="inlineStr">
        <is>
          <t>Retrieval rank of cited passage: 1
#1 S004:web:2 (0.707)European Canker | Comments on the Disease
#2 S015:web:4 (0.700)Fire Blight of Apple and Pear | Overwintering cankers
[passage text omitted for copyright; see the chunk ids above and data/registers/source_register.json]</t>
        </is>
      </c>
      <c r="M7" t="inlineStr">
        <is>
          <t>✓</t>
        </is>
      </c>
      <c r="N7" t="inlineStr">
        <is>
          <t>NA</t>
        </is>
      </c>
      <c r="O7" t="inlineStr">
        <is>
          <t>✓</t>
        </is>
      </c>
      <c r="P7" t="inlineStr">
        <is>
          <t>✓</t>
        </is>
      </c>
      <c r="Q7" t="inlineStr">
        <is>
          <t>✓</t>
        </is>
      </c>
      <c r="R7" t="inlineStr">
        <is>
          <t>✓</t>
        </is>
      </c>
      <c r="S7" t="inlineStr">
        <is>
          <t>Passed</t>
        </is>
      </c>
      <c r="T7" t="inlineStr">
        <is>
          <t>Evidence and answer are broadly consistent; key symptoms, identification and management points are clear.</t>
        </is>
      </c>
      <c r="U7" t="inlineStr">
        <is>
          <t>Dongyang Chen</t>
        </is>
      </c>
    </row>
    <row r="8" ht="150" customHeight="1">
      <c r="A8" s="4" t="inlineStr">
        <is>
          <t>T019</t>
        </is>
      </c>
      <c r="B8" s="4" t="inlineStr">
        <is>
          <t>symptoms_identification</t>
        </is>
      </c>
      <c r="C8" s="4" t="inlineStr">
        <is>
          <t>unspecified</t>
        </is>
      </c>
      <c r="D8" s="4" t="inlineStr">
        <is>
          <t>answerable</t>
        </is>
      </c>
      <c r="E8" s="4" t="inlineStr">
        <is>
          <t>My apples look fine on the outside, but when I cut them the core has mould. What is this?</t>
        </is>
      </c>
      <c r="F8" s="4" t="inlineStr">
        <is>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is>
      </c>
      <c r="G8" s="4" t="inlineStr">
        <is>
          <t>• identifies moldy core (core rot if flesh affected)
• no external symptoms; enters via open calyx from flowers
• susceptible open-sinus cultivars; wet weather at bloom
• pruning for drying; fungicides mixed; don't store over-mature fruit</t>
        </is>
      </c>
      <c r="H8" s="4" t="inlineStr">
        <is>
          <t>• attributes it to codling moth
• says it spreads from fruit to fruit in storage as the main mechanism</t>
        </is>
      </c>
      <c r="I8" s="4" t="inlineStr"/>
      <c r="J8" s="4" t="inlineStr">
        <is>
          <t>[S211:web:2 | Apple Disease: Moldy Core | Symptoms | United States - Pennsylvania | date January 5, 2024]
[S211:web:1 | Apple Disease: Moldy Core | Overview | United States - Pennsylvania | date January 5, 2024]
[S211:web:3 | Apple Disease: Moldy Core | Disease Cycle | United States - Pennsylvania | date January 5, 2024]
[S211:web:4 | Apple Disease: Moldy Core | Management | United States - Pennsylvania | date January 5, 2024]
[S208:web:2 | Apple Disease - Core Rot | Symptoms | United States - Pennsylvania | date January 5, 2024]
[S208:web:4 | Apple Disease - Core Rot | Disease Management | United States - Pennsylvania | date January 5, 2024]
[passage text omitted for copyright; see the chunk ids above and data/registers/source_register.json]</t>
        </is>
      </c>
      <c r="K8" s="5" t="inlineStr">
        <is>
          <t>https://extension.psu.edu/apple-disease-moldy-core
https://extension.psu.edu/apple-disease-core-rot</t>
        </is>
      </c>
      <c r="L8" s="4" t="inlineStr">
        <is>
          <t>Retrieval rank of cited passage: 1
#1 S208:web:1 (0.753)Apple Disease - Core Rot | Overview
[passage text omitted for copyright; see the chunk ids above and data/registers/source_register.json]</t>
        </is>
      </c>
      <c r="M8" t="inlineStr">
        <is>
          <t>✓</t>
        </is>
      </c>
      <c r="N8" t="inlineStr">
        <is>
          <t>NA</t>
        </is>
      </c>
      <c r="O8" t="inlineStr">
        <is>
          <t>✓</t>
        </is>
      </c>
      <c r="P8" t="inlineStr">
        <is>
          <t>✓</t>
        </is>
      </c>
      <c r="Q8" t="inlineStr">
        <is>
          <t>✓</t>
        </is>
      </c>
      <c r="R8" t="inlineStr">
        <is>
          <t>✓</t>
        </is>
      </c>
      <c r="S8" t="inlineStr">
        <is>
          <t>Passed</t>
        </is>
      </c>
      <c r="T8" t="inlineStr">
        <is>
          <t>Evidence and answer are broadly consistent; key symptoms, identification and management points are clear.</t>
        </is>
      </c>
      <c r="U8" t="inlineStr">
        <is>
          <t>Dongyang Chen</t>
        </is>
      </c>
    </row>
    <row r="9" ht="150" customHeight="1">
      <c r="A9" s="4" t="inlineStr">
        <is>
          <t>T022</t>
        </is>
      </c>
      <c r="B9" s="4" t="inlineStr">
        <is>
          <t>monitoring_sampling</t>
        </is>
      </c>
      <c r="C9" s="4" t="inlineStr">
        <is>
          <t>unspecified</t>
        </is>
      </c>
      <c r="D9" s="4" t="inlineStr">
        <is>
          <t>answerable</t>
        </is>
      </c>
      <c r="E9" s="4" t="inlineStr">
        <is>
          <t>How should I time my sprays for codling moth?</t>
        </is>
      </c>
      <c r="F9" s="4" t="inlineStr">
        <is>
          <t>Sprays target hatching larvae, so timing comes from pheromone traps plus degree-days. Set a biofix from the first sustained moth catch (UC IPM: moths in traps for three consecutive checks and sunset temperature at least 62°F; Penn State: first capture), then accumulate degree-days (base 50°F, upper 88°F). UC IPM sprays at about 250 degree-days after biofix (160 if catches are high), repeating when residual ends; Penn State applies at 250–350 degree-days, or within 5–8 days when catches exceed five moths per trap per week without mating disruption. Two to four generations occur per year, so track each generation and check fruit for damage.</t>
        </is>
      </c>
      <c r="G9" s="4" t="inlineStr">
        <is>
          <t>• sprays target egg hatch/young larvae
• pheromone traps to set a biofix
• degree-day accumulation (base 50°F) to time sprays (attributed values e.g. 250 DD)
• multiple generations; repeat timing and fruit checks</t>
        </is>
      </c>
      <c r="H9" s="4" t="inlineStr">
        <is>
          <t>• recommends calendar sprays without monitoring
• presents one region's threshold as universal</t>
        </is>
      </c>
      <c r="I9" s="4" t="inlineStr"/>
      <c r="J9" s="4" t="inlineStr">
        <is>
          <t>[S006:web:16 | Codling Moth | Establishing Biofix and Accumulation of Degree-Days | United States - California | date Text Updated: 12/09; Treatment Table Updated: 10/15]
[S006:web:17 | Codling Moth | Spray Timing | United States - California | date Text Updated: 12/09; Treatment Table Updated: 10/15]
[S022:web:5 | Tree Fruit Insect Pest - Codling Moth | Monitoring and Management | United States - Pennsylvania | date February 25, 2026]
[S006:web:1 | Codling Moth | Description of the Pest | United States - California | date Text Updated: 12/09; Treatment Table Updated: 10/15]
[S006:web:13 | Codling Moth | Fruit Sampling | United States - California | date Text Updated: 12/09; Treatment Table Updated: 10/15]
[passage text omitted for copyright; see the chunk ids above and data/registers/source_register.json]</t>
        </is>
      </c>
      <c r="K9" s="5" t="inlineStr">
        <is>
          <t>https://ipm.ucanr.edu/agriculture/apple/codling-moth/
https://extension.psu.edu/tree-fruit-insect-pest-codling-moth</t>
        </is>
      </c>
      <c r="L9" s="4" t="inlineStr">
        <is>
          <t>Retrieval rank of cited passage: 1
#1 S006:web:15 (0.814)Codling Moth | Monitoring and Treatment Decisions in a Conventional Orchard
#2 S228:web:17 (0.797)Tree Fruit Insect Pest - Oriental Fruit Moth | Monitoring and Management
#3 S006:web:14 (0.789)Codling Moth | Supplemental Treatments
#4 S006:web:8 (0.780)Codling Moth | Setting Out Pheromone Dispensers
[passage text omitted for copyright; see the chunk ids above and data/registers/source_register.json]</t>
        </is>
      </c>
      <c r="M9" t="inlineStr">
        <is>
          <t>✓</t>
        </is>
      </c>
      <c r="N9" t="inlineStr">
        <is>
          <t>NA</t>
        </is>
      </c>
      <c r="O9" t="inlineStr">
        <is>
          <t>✗</t>
        </is>
      </c>
      <c r="P9" t="inlineStr">
        <is>
          <t>✓</t>
        </is>
      </c>
      <c r="Q9" t="inlineStr">
        <is>
          <t>✓</t>
        </is>
      </c>
      <c r="R9" t="inlineStr">
        <is>
          <t>✓</t>
        </is>
      </c>
      <c r="S9" t="inlineStr">
        <is>
          <t>Passed after modification</t>
        </is>
      </c>
      <c r="T9" t="inlineStr">
        <is>
          <t>Add the base temperature of degree-day accumulation, the biofix definition and the conditions of the local model; do not present US spray timing as a universal prescription.</t>
        </is>
      </c>
      <c r="U9" t="inlineStr">
        <is>
          <t>Dongyang Chen</t>
        </is>
      </c>
    </row>
    <row r="10" ht="150" customHeight="1">
      <c r="A10" s="4" t="inlineStr">
        <is>
          <t>T024</t>
        </is>
      </c>
      <c r="B10" s="4" t="inlineStr">
        <is>
          <t>symptoms_identification</t>
        </is>
      </c>
      <c r="C10" s="4" t="inlineStr">
        <is>
          <t>unspecified</t>
        </is>
      </c>
      <c r="D10" s="4" t="inlineStr">
        <is>
          <t>answerable</t>
        </is>
      </c>
      <c r="E10" s="4" t="inlineStr">
        <is>
          <t>The young leaves on my apple trees are tightly rolled, and I found tiny orange maggots inside. What is it and does it need control?</t>
        </is>
      </c>
      <c r="F10" s="4" t="inlineStr">
        <is>
          <t>This is apple leafcurling midge: larvae feed on the margins of developing leaves, which roll inward into tight tubes, may redden and later go brown and brittle. Mature trees usually do not suffer economic damage, but heavy infestations can stunt shoots of young trees and new grafts. Monitoring focuses on young trees with vigorous shoots. Insecticides are difficult because larvae are protected inside the rolls; natural enemies (e.g. the parasitoid Platygaster demades) can give useful control, and New Zealand guidance advises avoiding broad-spectrum insecticides that disrupt them.</t>
        </is>
      </c>
      <c r="G10" s="4" t="inlineStr">
        <is>
          <t>• identifies apple leafcurling midge
• tightly rolled leaves with orange larvae
• mainly a problem on young trees/grafts, not mature trees
• natural enemies; avoid broad-spectrum sprays; larvae protected in rolls</t>
        </is>
      </c>
      <c r="H10" s="4" t="inlineStr">
        <is>
          <t>• identifies the maggots as apple maggot
• recommends routine sprays on mature trees</t>
        </is>
      </c>
      <c r="I10" s="4" t="inlineStr"/>
      <c r="J10" s="4" t="inlineStr">
        <is>
          <t>[S087:web:9 | Apple leafcurling midge | Damage | United States - Pacific Northwest | date by Eric LaGasa, published online December 2007; revised 2017 by Elizabeth H. Beers]
[S087:web:10 | Apple leafcurling midge | Monitoring | United States - Pacific Northwest | date by Eric LaGasa, published online December 2007; revised 2017 by Elizabeth H. Beers]
[Pac2f744e6d94a879:p45:c1 | Crop Profile for Apple in Canada, 2022 (Sixth Edition, 2023) | Apple Leaf Curling Midge (Dasineura mali); biology/cultural management, Canada 2023 | Canada | date 2023]
[S266:web:1 | Apple leaf-curling midge (ALCM) | Summary | New Zealand | date unknown]
[S087:web:12 | Apple leafcurling midge | Management | United States - Pacific Northwest | date by Eric LaGasa, published online December 2007; revised 2017 by Elizabeth H. Beers]
[S266:web:2 | Apple leaf-curling midge (ALCM) | Overview | New Zealand | date unknown]
[S087:web:11 | Apple leafcurling midge | Biological control | United States - Pacific Northwest | date by Eric LaGasa, published online December 2007; revised 2017 by Elizabeth H. Beers]
[passage text omitted for copyright; see the chunk ids above and data/registers/source_register.json]</t>
        </is>
      </c>
      <c r="K10" s="5" t="inlineStr">
        <is>
          <t>https://treefruit.wsu.edu/crop-protection/opm/apple-leafcurling-midge/
https://publications.gc.ca/collections/collection_2023/aac-aafc/A118-10-7-2022-eng.pdf
https://www.hortinfo.co.nz/textfiles/pdh252_59.htm</t>
        </is>
      </c>
      <c r="L10" s="4" t="inlineStr">
        <is>
          <t>Retrieval rank of cited passage: 1
#1 S007:web:1 (0.750)Apple Maggot | Description of the Pest
#2 S218:web:3 (0.747)Tree Fruit Insect Pest - Apple Maggot | Hosts
#3 S087:web:5 (0.746)Apple leafcurling midge | Larva
#4 S266:web:3 (0.741)Apple leaf-curling midge (ALCM) | Main identifying features
#5 S218:web:4 (0.730)Tree Fruit Insect Pest - Apple Maggot | Monitoring
[passage text omitted for copyright; see the chunk ids above and data/registers/source_register.json]</t>
        </is>
      </c>
      <c r="M10" t="inlineStr">
        <is>
          <t>✓</t>
        </is>
      </c>
      <c r="N10" t="inlineStr">
        <is>
          <t>NA</t>
        </is>
      </c>
      <c r="O10" t="inlineStr">
        <is>
          <t>✓</t>
        </is>
      </c>
      <c r="P10" t="inlineStr">
        <is>
          <t>✓</t>
        </is>
      </c>
      <c r="Q10" t="inlineStr">
        <is>
          <t>✓</t>
        </is>
      </c>
      <c r="R10" t="inlineStr">
        <is>
          <t>✓</t>
        </is>
      </c>
      <c r="S10" t="inlineStr">
        <is>
          <t>Passed</t>
        </is>
      </c>
      <c r="T10" t="inlineStr">
        <is>
          <t>Evidence and answer are broadly consistent; key symptoms, identification and management points are clear.</t>
        </is>
      </c>
      <c r="U10" t="inlineStr">
        <is>
          <t>Dongyang Chen</t>
        </is>
      </c>
    </row>
    <row r="11" ht="150" customHeight="1">
      <c r="A11" s="4" t="inlineStr">
        <is>
          <t>T027</t>
        </is>
      </c>
      <c r="B11" s="4" t="inlineStr">
        <is>
          <t>management_strategy</t>
        </is>
      </c>
      <c r="C11" s="4" t="inlineStr">
        <is>
          <t>unspecified</t>
        </is>
      </c>
      <c r="D11" s="4" t="inlineStr">
        <is>
          <t>answerable</t>
        </is>
      </c>
      <c r="E11" s="4" t="inlineStr">
        <is>
          <t>How do I put out pheromone dispensers to control codling moth?</t>
        </is>
      </c>
      <c r="F11" s="4" t="inlineStr">
        <is>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t>
        </is>
      </c>
      <c r="G11" s="4" t="inlineStr">
        <is>
          <t>• place dispensers in upper canopy before first moth flight
• best in large uniform blocks; small/isolated issues
• supplementary insecticides in first year or high populations
• keep monitoring with traps and fruit checks</t>
        </is>
      </c>
      <c r="H11" s="4" t="inlineStr">
        <is>
          <t>• says pheromones kill moths
• recommends mating disruption alone for high populations</t>
        </is>
      </c>
      <c r="I11" s="4" t="inlineStr"/>
      <c r="J11" s="4" t="inlineStr">
        <is>
          <t>[S006:web:8 | Codling Moth | Setting Out Pheromone Dispensers | United States - California | date Text Updated: 12/09; Treatment Table Updated: 10/15]
[S006:web:7 | Codling Moth | Monitoring and Treatment Decisions in a Mating Disruption Orchard | United States - California | date Text Updated: 12/09; Treatment Table Updated: 10/15]
[S122:web:11 | Mating Disruption | Size and location of orchard | United States - Pacific Northwest | date by Jay F. Brunner and Alan Knight, originally published 1993]
[S122:web:12 | Mating Disruption | Pest levels | United States - Pacific Northwest | date by Jay F. Brunner and Alan Knight, originally published 1993]
[S122:web:7 | Mating Disruption | Pheromone dispensers | United States - Pacific Northwest | date by Jay F. Brunner and Alan Knight, originally published 1993]
[S022:web:5 | Tree Fruit Insect Pest - Codling Moth | Monitoring and Management | United States - Pennsylvania | date February 25, 2026]
[passage text omitted for copyright; see the chunk ids above and data/registers/source_register.json]</t>
        </is>
      </c>
      <c r="K11" s="5" t="inlineStr">
        <is>
          <t>https://ipm.ucanr.edu/agriculture/apple/codling-moth/
https://treefruit.wsu.edu/crop-protection/opm/mating-disruption/
https://extension.psu.edu/tree-fruit-insect-pest-codling-moth</t>
        </is>
      </c>
      <c r="L11" s="4" t="inlineStr">
        <is>
          <t>Retrieval rank of cited passage: 2
#1 S006:web:15 (0.819)Codling Moth | Monitoring and Treatment Decisions in a Conventional Orchard
#2 S006:web:9 (0.806)Codling Moth | Monitoring with Traps
#3 S228:web:17 (0.802)Tree Fruit Insect Pest - Oriental Fruit Moth | Monitoring and Management
#4 S006:web:11 (0.779)Codling Moth | Regular (1 mg) pheromone traps
[passage text omitted for copyright; see the chunk ids above and data/registers/source_register.json]</t>
        </is>
      </c>
      <c r="M11" t="inlineStr">
        <is>
          <t>✓</t>
        </is>
      </c>
      <c r="N11" t="inlineStr">
        <is>
          <t>NA</t>
        </is>
      </c>
      <c r="O11" t="inlineStr">
        <is>
          <t>✗</t>
        </is>
      </c>
      <c r="P11" t="inlineStr">
        <is>
          <t>✓</t>
        </is>
      </c>
      <c r="Q11" t="inlineStr">
        <is>
          <t>✓</t>
        </is>
      </c>
      <c r="R11" t="inlineStr">
        <is>
          <t>✓</t>
        </is>
      </c>
      <c r="S11" t="inlineStr">
        <is>
          <t>Passed after modification</t>
        </is>
      </c>
      <c r="T11" t="inlineStr">
        <is>
          <t>When giving dispenser density, state the product formulation, canopy size and the region of the label; do not extend UC IPM values to all orchards.</t>
        </is>
      </c>
      <c r="U11" t="inlineStr">
        <is>
          <t>Dongyang Chen</t>
        </is>
      </c>
    </row>
    <row r="12" ht="150" customHeight="1">
      <c r="A12" s="4" t="inlineStr">
        <is>
          <t>T035</t>
        </is>
      </c>
      <c r="B12" s="4" t="inlineStr">
        <is>
          <t>symptoms_identification</t>
        </is>
      </c>
      <c r="C12" s="4" t="inlineStr">
        <is>
          <t>unspecified</t>
        </is>
      </c>
      <c r="D12" s="4" t="inlineStr">
        <is>
          <t>answerable</t>
        </is>
      </c>
      <c r="E12" s="4" t="inlineStr">
        <is>
          <t>Brown, papery dead blossoms are hanging on my apple trees after a frosty spell at bloom, but there is no ooze. What is it?</t>
        </is>
      </c>
      <c r="F12" s="4" t="inlineStr">
        <is>
          <t>This fits bacterial blossom blast (Pseudomonas syringae): buds infected in early bloom turn brown and papery and may drop; later infections brown the petals, stems and cluster bases, but infection usually stops at the base of the fruit cluster. It needs frost or freezing temperatures plus moisture, and warm dry weather halts it. It resembles fire blight, but bacterial ooze is never present with blast, whereas fire blight produces ooze and shepherd's crook shoots. It is hard to control; UC IPM suggests overhead sprinklers for frost protection, turned on before temperatures drop below about 34°F and kept on until well above freezing.</t>
        </is>
      </c>
      <c r="G12" s="4" t="inlineStr">
        <is>
          <t>• identifies bacterial blossom blast
• frost/freezing plus moisture trigger
• distinguishes from fire blight (no ooze, stays at cluster base)
• frost protection with sprinklers</t>
        </is>
      </c>
      <c r="H12" s="4" t="inlineStr">
        <is>
          <t>• diagnoses fire blight and recommends antibiotic programmes
• ignores the frost link</t>
        </is>
      </c>
      <c r="I12" s="4" t="inlineStr"/>
      <c r="J12" s="4" t="inlineStr">
        <is>
          <t>[S066:web:1 | Bacterial Blossom Blast | Symptoms and Signs | United States - California | date Text Updated: 03/09; Treatment Table Updated: 10/15]
[S066:web:2 | Bacterial Blossom Blast | Comments on the Disease | United States - California | date Text Updated: 03/09; Treatment Table Updated: 10/15]
[S066:web:3 | Bacterial Blossom Blast | Management | United States - California | date Text Updated: 03/09; Treatment Table Updated: 10/15]
[S002:web:1 | Fire Blight | Symptoms and Signs | United States - California | date Text Updated: 03/09; Treatment Table Updated: 10/15]
[passage text omitted for copyright; see the chunk ids above and data/registers/source_register.json]</t>
        </is>
      </c>
      <c r="K12" s="5" t="inlineStr">
        <is>
          <t>https://ipm.ucanr.edu/agriculture/apple/bacterial-blossom-blast/
https://ipm.ucanr.edu/agriculture/apple/fire-blight/</t>
        </is>
      </c>
      <c r="L12" s="4" t="inlineStr">
        <is>
          <t>Retrieval rank of cited passage: 4
#1 S015:web:17 (0.721)Fire Blight of Apple and Pear | Summer sanitation
#2 Pc857494577bd34fb:p19:c1 (0.704)Apple IPM for Beginners | Fire blight: concern and cycle
#3 S155:web:8 (0.701)Western flower thrips | Damage
#4 S015:web:5 (0.698)Fire Blight of Apple and Pear | Blossom symptoms
#5 S236:web:2 (0.696)Tree Fruit Insect Pest - Rosy Apple Aphid | Description and life cycle
[passage text omitted for copyright; see the chunk ids above and data/registers/source_register.json]</t>
        </is>
      </c>
      <c r="M12" t="inlineStr">
        <is>
          <t>✓</t>
        </is>
      </c>
      <c r="N12" t="inlineStr">
        <is>
          <t>NA</t>
        </is>
      </c>
      <c r="O12" t="inlineStr">
        <is>
          <t>✓</t>
        </is>
      </c>
      <c r="P12" t="inlineStr">
        <is>
          <t>✓</t>
        </is>
      </c>
      <c r="Q12" t="inlineStr">
        <is>
          <t>✓</t>
        </is>
      </c>
      <c r="R12" t="inlineStr">
        <is>
          <t>✓</t>
        </is>
      </c>
      <c r="S12" t="inlineStr">
        <is>
          <t>Passed</t>
        </is>
      </c>
      <c r="T12" t="inlineStr">
        <is>
          <t>Evidence and answer are broadly consistent; key symptoms, identification and management points are clear.</t>
        </is>
      </c>
      <c r="U12" t="inlineStr">
        <is>
          <t>Dongyang Chen</t>
        </is>
      </c>
    </row>
    <row r="13" ht="150" customHeight="1">
      <c r="A13" s="4" t="inlineStr">
        <is>
          <t>T036</t>
        </is>
      </c>
      <c r="B13" s="4" t="inlineStr">
        <is>
          <t>conditions_risk</t>
        </is>
      </c>
      <c r="C13" s="4" t="inlineStr">
        <is>
          <t>unspecified</t>
        </is>
      </c>
      <c r="D13" s="4" t="inlineStr">
        <is>
          <t>answerable</t>
        </is>
      </c>
      <c r="E13" s="4" t="inlineStr">
        <is>
          <t>We had a cold, wet spring with long rainy periods during bloom. Now my apple leaves have olive spots. Why did the weather matter?</t>
        </is>
      </c>
      <c r="F13" s="4" t="inlineStr">
        <is>
          <t>The spots are apple scab, and wet springs drive it. The fungus overwinters in fallen leaves; spores are ejected during spring rain (from green tip through about four weeks after petal fall) and need a film of water on leaves or fruit to germinate. Infection happens only if tissue stays wet long enough: the cooler it is, the longer the wetting period needed (Mills/La Plante: about 9 hours at 61–75°F but 14 hours at 50°F and longer below), so long rainy spells allow infection even in cool weather. Once primary lesions form, secondary spores spread without long wet periods all season.</t>
        </is>
      </c>
      <c r="G13" s="4" t="inlineStr">
        <is>
          <t>• identifies apple scab
• spores released by rain from overwintered leaves in spring
• infection needs a wetting period that is longer at cooler temperatures (Mills table)
• primary infection leads to secondary spread</t>
        </is>
      </c>
      <c r="H13" s="4" t="inlineStr">
        <is>
          <t>• says cold weather prevents scab entirely
• attributes spots to frost damage</t>
        </is>
      </c>
      <c r="I13" s="4" t="inlineStr"/>
      <c r="J13" s="4" t="inlineStr">
        <is>
          <t>[Pbb050e80247f328d:p35:c1 | IPM Manual for Minnesota Apple Orchards | Historical Minnesota apple biology/monitoring; 2007 conditions | United States - Minnesota | date 2007-09]
[Pbb050e80247f328d:p35:c2 | IPM Manual for Minnesota Apple Orchards | Historical Minnesota apple biology/monitoring; 2007 conditions | United States - Minnesota | date 2007-09]
[Pc857494577bd34fb:p17:c1 | Apple IPM for Beginners | Apple scab: concern, damage and cycle | United States - New York | date 2014]
[S001:web:2 | Apple Scab | Comments on the Disease | United States - California | date Text Updated: 10/15; Treatment Table Updated: 10/15]
[S001:web:9 | Apple Scab | Monitoring | United States - California | date Text Updated: 10/15; Treatment Table Updated: 10/15]
[S001:web:16 | Apple Scab | Monitoring | United States - California | date Text Updated: 10/15; Treatment Table Updated: 10/15]
[passage text omitted for copyright; see the chunk ids above and data/registers/source_register.json]</t>
        </is>
      </c>
      <c r="K13" s="5" t="inlineStr">
        <is>
          <t>https://fruitedge.umn.edu/sites/fruitedge-dl9.umn.edu/files/2023-07/IPM%20Manual-2007-MDA.pdf
https://blogs.cornell.edu/newfruit/files/2016/12/Apple_IPM_Beginners-21ahj65.pdf
https://ipm.ucanr.edu/agriculture/apple/apple-scab/</t>
        </is>
      </c>
      <c r="L13" s="4" t="inlineStr">
        <is>
          <t>Retrieval rank of cited passage: 5
#1 S174:web:2 (0.738)Fact Sheet: Apple Scab | What does apple scab look like?
#2 S208:web:3 (0.730)Apple Disease - Core Rot | Disease Cycle
#3 S211:web:3 (0.722)Apple Disease: Moldy Core | Disease Cycle
#4 S209:web:2 (0.713)Apple Disease - Marssonina Blotch | Marssonina Blotch Symptoms on Apple Trees
#5 S210:web:3 (0.707)Apple Disease - Powdery Mildew | Disease Cycle
[passage text omitted for copyright; see the chunk ids above and data/registers/source_register.json]</t>
        </is>
      </c>
      <c r="M13" t="inlineStr">
        <is>
          <t>✓</t>
        </is>
      </c>
      <c r="N13" t="inlineStr">
        <is>
          <t>NA</t>
        </is>
      </c>
      <c r="O13" t="inlineStr">
        <is>
          <t>✓</t>
        </is>
      </c>
      <c r="P13" t="inlineStr">
        <is>
          <t>✓</t>
        </is>
      </c>
      <c r="Q13" t="inlineStr">
        <is>
          <t>✓</t>
        </is>
      </c>
      <c r="R13" t="inlineStr">
        <is>
          <t>✓</t>
        </is>
      </c>
      <c r="S13" t="inlineStr">
        <is>
          <t>Passed</t>
        </is>
      </c>
      <c r="T13" t="inlineStr">
        <is>
          <t>Evidence and answer are broadly consistent; key symptoms, identification and management points are clear.</t>
        </is>
      </c>
      <c r="U13" t="inlineStr">
        <is>
          <t>Dongyang Chen</t>
        </is>
      </c>
    </row>
    <row r="14" ht="150" customHeight="1">
      <c r="A14" s="4" t="inlineStr">
        <is>
          <t>T039</t>
        </is>
      </c>
      <c r="B14" s="4" t="inlineStr">
        <is>
          <t>management_strategy</t>
        </is>
      </c>
      <c r="C14" s="4" t="inlineStr">
        <is>
          <t>New Zealand</t>
        </is>
      </c>
      <c r="D14" s="4" t="inlineStr">
        <is>
          <t>answerable</t>
        </is>
      </c>
      <c r="E14" s="4" t="inlineStr">
        <is>
          <t>I'm in Nelson, New Zealand. Can parasitic wasps control woolly apple aphid in my orchard?</t>
        </is>
      </c>
      <c r="F14" s="4" t="inlineStr">
        <is>
          <t>Yes, with conditions. At Appleby near Nelson (1994–96), the parasitoid Aphelinus mali reached over 80% parasitism in the second season and controlled the aphid without aphicide sprays within a selective (tebufenozide-based) programme. But this biocontrol is fragile: a Hawke's Bay study linked the 2007–08 outbreaks mainly to spinetoram, which is toxic to A. mali, and noted other insecticides also contribute; with no available aphicide, avoiding disruptive sprays is essential. A. mali only parasitises above-ground colonies; look for black mummified aphids with round exit holes. WSU adds that generalist predators are also important and that control may fail after mild winters.</t>
        </is>
      </c>
      <c r="G14" s="4" t="inlineStr">
        <is>
          <t>• yes: A. mali controlled WAA in a Nelson trial with selective insecticides
• disruptive insecticides (e.g. spinetoram) caused outbreaks; avoid them
• parasitises only above-ground colonies; mummies with exit holes show activity
• predators also help; mild winters may limit control</t>
        </is>
      </c>
      <c r="H14" s="4" t="inlineStr">
        <is>
          <t>• says parasitoids cannot control woolly apple aphid
• recommends spinetoram for aphid control</t>
        </is>
      </c>
      <c r="I14" s="4" t="inlineStr"/>
      <c r="J14" s="4" t="inlineStr">
        <is>
          <t>[P22b2f2a0c04d1246:p1:c1 | Biological control of woolly apple aphid by Aphelinus mali in an integrated fruit production programme in Nelson | Abstract – dated research findings | New Zealand - Nelson | date 1996]
[P22b2f2a0c04d1246:p4:c1 | Biological control of woolly apple aphid by Aphelinus mali in an integrated fruit production programme in Nelson | Discussion/conclusion – dated experimental context | New Zealand - Nelson | date 1996]
[Pb451007e959e5dd4:p1:c1 | Vulnerability of pest management in New Zealand apples: pesticide toxicity to Aphelinus mali | Abstract – dated research findings | New Zealand - Hawke’s Bay / laboratory trials | date 2015]
[Pb451007e959e5dd4:p5:c1 | Vulnerability of pest management in New Zealand apples: pesticide toxicity to Aphelinus mali | Discussion/conclusion – dated experimental context | New Zealand - Hawke’s Bay / laboratory trials | date 2015]
[S083:web:7 | Aphelinus mali | Life history | United States - Pacific Northwest | date by Elizabeth H. Beers , Stanley C. Hoyt, and Michael J. Willett, originally published 1993; revised March 2010 E. Beers; revised March 2010]
[S083:web:8 | Aphelinus mali | Monitoring | United States - Pacific Northwest | date by Elizabeth H. Beers , Stanley C. Hoyt, and Michael J. Willett, originally published 1993; revised March 2010 E. Beers; revised March 2010]
[S083:web:9 | Aphelinus mali | Management | United States - Pacific Northwest | date by Elizabeth H. Beers , Stanley C. Hoyt, and Michael J. Willett, originally published 1993; revised March 2010 E. Beers; revised March 2010]
[passage text omitted for copyright; see the chunk ids above and data/registers/source_register.json]</t>
        </is>
      </c>
      <c r="K14" s="5" t="inlineStr">
        <is>
          <t>https://journal.nzpps.org/index.php/pnzppc/article/download/11425/11275/12902
https://www.journal.nzpps.org/index.php/nzpp/article/view/5826
https://treefruit.wsu.edu/crop-protection/opm/aphelinus-mali/</t>
        </is>
      </c>
      <c r="L14" s="4" t="inlineStr">
        <is>
          <t>Retrieval rank of cited passage: 1
#1 S244:web:5 (0.793)Tree Fruit Insect Pest - Woolly Apple Aphid | Management
#2 S012:web:5 (0.787)Woolly Apple Aphid | Biological Control
#3 S244:web:6 (0.776)Tree Fruit Insect Pest - Woolly Apple Aphid | Cultural Control
#4 S244:web:1 (0.768)Tree Fruit Insect Pest - Woolly Apple Aphid | Overview
[passage text omitted for copyright; see the chunk ids above and data/registers/source_register.json]</t>
        </is>
      </c>
      <c r="M14" t="inlineStr">
        <is>
          <t>✓</t>
        </is>
      </c>
      <c r="N14" t="inlineStr">
        <is>
          <t>NA</t>
        </is>
      </c>
      <c r="O14" t="inlineStr">
        <is>
          <t>✗</t>
        </is>
      </c>
      <c r="P14" t="inlineStr">
        <is>
          <t>✓</t>
        </is>
      </c>
      <c r="Q14" t="inlineStr">
        <is>
          <t>✓</t>
        </is>
      </c>
      <c r="R14" t="inlineStr">
        <is>
          <t>✓</t>
        </is>
      </c>
      <c r="S14" t="inlineStr">
        <is>
          <t>Passed after modification</t>
        </is>
      </c>
      <c r="T14" t="inlineStr">
        <is>
          <t>Limit the Appleby 1994–96 parasitism rates to that trial; do not promise the same control in all Nelson orchards today.</t>
        </is>
      </c>
      <c r="U14" t="inlineStr">
        <is>
          <t>Dongyang Chen</t>
        </is>
      </c>
    </row>
    <row r="15" ht="150" customHeight="1">
      <c r="A15" s="4" t="inlineStr">
        <is>
          <t>T040</t>
        </is>
      </c>
      <c r="B15" s="4" t="inlineStr">
        <is>
          <t>boundary_insufficient</t>
        </is>
      </c>
      <c r="C15" s="4" t="inlineStr">
        <is>
          <t>New Zealand</t>
        </is>
      </c>
      <c r="D15" s="4" t="inlineStr">
        <is>
          <t>partial</t>
        </is>
      </c>
      <c r="E15" s="4" t="inlineStr">
        <is>
          <t>I'm in New Zealand and have lightbrown apple moth caterpillars in my apples. What should I spray?</t>
        </is>
      </c>
      <c r="F15" s="4" t="inlineStr">
        <is>
          <t>The corpus has no reviewed New Zealand guidance on which insecticides to use against lightbrown apple moth, so specific products and timings cannot be given. It does contain New Zealand evidence on a non-insecticide option: in 12 Hawke's Bay orchards (2009–2011), three-species leafroller mating disruption (600 dispensers/ha) with one insecticide in early November and threshold-based follow-up cut male trap catch by up to 98% and reduced insecticide use, with acceptably low damage; it was less effective against lightbrown apple moth in Nelson, where activity is higher. Overseas leafroller sampling advice exists but is not New Zealand-specific.</t>
        </is>
      </c>
      <c r="G15" s="4" t="inlineStr">
        <is>
          <t>• does not present specific insecticide products or timing as established NZ advice
• leafroller mating disruption can cut trap catch and reduce insecticide sprays (NZ Hawke's Bay trials)
• notes lower efficacy in Nelson
• does not invent products or rates</t>
        </is>
      </c>
      <c r="H15" s="4" t="inlineStr">
        <is>
          <t>• names specific insecticides or rates as NZ recommendations
• says nothing is known about controlling it in New Zealand</t>
        </is>
      </c>
      <c r="I15" s="4" t="inlineStr">
        <is>
          <t>Answerable: New Zealand mating-disruption trial; decline: products and timing; reason: NZR03 not added to the corpus (see decision record)</t>
        </is>
      </c>
      <c r="J15" s="4" t="inlineStr">
        <is>
          <t>[P2f964142f9956fd5:p1:c1 | Use of mating disruption for control of New Zealand leafrollers in apple orchards | Abstract – dated research findings | New Zealand - Hawke’s Bay | date 2011]
[P2f964142f9956fd5:p6:c1 | Use of mating disruption for control of New Zealand leafrollers in apple orchards | Discussion/conclusion – dated experimental context | New Zealand - Hawke’s Bay | date 2011]
[P2f964142f9956fd5:p6:c2 | Use of mating disruption for control of New Zealand leafrollers in apple orchards | Discussion/conclusion – dated experimental context | New Zealand - Hawke’s Bay | date 2011]
[passage text omitted for copyright; see the chunk ids above and data/registers/source_register.json]</t>
        </is>
      </c>
      <c r="K15" s="5" t="inlineStr">
        <is>
          <t>https://nzpps.org/_journal/index.php/nzpp/article/download/5957/5785/8159</t>
        </is>
      </c>
      <c r="L15" s="4" t="inlineStr">
        <is>
          <t>cited passage not in the top 6
#1 S085:web:11 (0.763)Apple ermine moth | Management
#2 S245:web:4 (0.748)Tree Fruit Insect Pest -Tufted Apple Bud Moth | Monitoring and Management
#3 S041:web:6 (0.747)Apple Pandemis | Monitoring and Treatment Decisions
#4 S218:web:4 (0.743)Tree Fruit Insect Pest - Apple Maggot | Monitoring
#5 Pc857494577bd34fb:p38:c1 (0.742)Apple IPM for Beginners | Trunk borers
#6 S085:web:9 (0.740)Apple ermine moth | Monitoring
[passage text omitted for copyright; see the chunk ids above and data/registers/source_register.json]</t>
        </is>
      </c>
      <c r="M15" t="inlineStr">
        <is>
          <t>✓</t>
        </is>
      </c>
      <c r="N15" t="inlineStr">
        <is>
          <t>NA</t>
        </is>
      </c>
      <c r="O15" t="inlineStr">
        <is>
          <t>✓</t>
        </is>
      </c>
      <c r="P15" t="inlineStr">
        <is>
          <t>✓</t>
        </is>
      </c>
      <c r="Q15" t="inlineStr">
        <is>
          <t>✗</t>
        </is>
      </c>
      <c r="R15" t="inlineStr">
        <is>
          <t>✓</t>
        </is>
      </c>
      <c r="S15" t="inlineStr">
        <is>
          <t>Passed after modification</t>
        </is>
      </c>
      <c r="T15" t="inlineStr">
        <is>
          <t>Boundary questions should separate the known pest information from the lack of reviewed NZ product evidence; advise checking local compliant labels and experts. Re-check whether the original corpus contains material for the part to decline; the current excerpts do not prove that the whole corpus lacks such evidence.</t>
        </is>
      </c>
      <c r="U15" t="inlineStr">
        <is>
          <t>Dongyang Chen</t>
        </is>
      </c>
    </row>
    <row r="16" ht="150" customHeight="1">
      <c r="A16" s="4" t="inlineStr">
        <is>
          <t>T047</t>
        </is>
      </c>
      <c r="B16" s="4" t="inlineStr">
        <is>
          <t>symptoms_identification</t>
        </is>
      </c>
      <c r="C16" s="4" t="inlineStr">
        <is>
          <t>unspecified</t>
        </is>
      </c>
      <c r="D16" s="4" t="inlineStr">
        <is>
          <t>answerable</t>
        </is>
      </c>
      <c r="E16" s="4" t="inlineStr">
        <is>
          <t>Young apples have crescent-shaped scars on the skin. What could cause this?</t>
        </is>
      </c>
      <c r="F16" s="4" t="inlineStr">
        <is>
          <t>This is the characteristic egg-laying scar of plum curculio: the female makes a crescent-shaped cut partly surrounding a sunken egg (feeding punctures are small round holes). Larvae develop mainly in dropped fruit; on the tree the scars remain and fruit may be deformed. European apple sawfly is a different cause of fruit scarring: its young larvae leave a ribbon-like scar just under the skin. Plum curculio is controlled during the first warm, humid days after petal fall (maximum around 70°F), keeping spray residue for about 308 degree-days (base 50°F) after petal fall per Penn State, especially near woods and fencerows.</t>
        </is>
      </c>
      <c r="G16" s="4" t="inlineStr">
        <is>
          <t>• identifies plum curculio egg-laying scars
• crescent cut around sunken egg; larvae mostly in dropped fruit
• distinguishes from European apple sawfly ribbon scars
• control in first warm period after petal fall</t>
        </is>
      </c>
      <c r="H16" s="4" t="inlineStr">
        <is>
          <t>• attributes the scars to hail or codling moth</t>
        </is>
      </c>
      <c r="I16" s="4" t="inlineStr"/>
      <c r="J16" s="4" t="inlineStr">
        <is>
          <t>[S232:web:1 | Tree Fruit Insect Pest - Plum Curculio | Overview | United States - Pennsylvania | date November 1, 2023]
[S232:web:3 | Tree Fruit Insect Pest - Plum Curculio | Injury | United States - Pennsylvania | date November 1, 2023]
[S232:web:2 | Tree Fruit Insect Pest - Plum Curculio | Description and Life Cycle | United States - Pennsylvania | date November 1, 2023]
[S222:web:3 | Tree Fruit Insect Pest - European Apple Sawfly | Instars | United States - Pennsylvania | date February 25, 2026]
[S232:web:4 | Tree Fruit Insect Pest - Plum Curculio | Monitoring and Management | United States - Pennsylvania | date November 1, 2023]
[passage text omitted for copyright; see the chunk ids above and data/registers/source_register.json]</t>
        </is>
      </c>
      <c r="K16" s="5" t="inlineStr">
        <is>
          <t>https://extension.psu.edu/tree-fruit-insect-pest-plum-curculio
https://extension.psu.edu/tree-fruit-insect-pest-european-apple-sawfly</t>
        </is>
      </c>
      <c r="L16" s="4" t="inlineStr">
        <is>
          <t>Retrieval rank of cited passage: 4
#1 S001:web:1 (0.744)Apple Scab | Symptoms and Signs
#2 S174:web:2 (0.726)Fact Sheet: Apple Scab | What does apple scab look like?
#3 P86663e8e7add6d5b:p1:c1 (0.718)Seasonal wound presence and susceptibility to Neonectria ditissima infection in New Zealand apple trees | Abstract – dated research findings
#4 P86663e8e7add6d5b:p7:c1 (0.704)Seasonal wound presence and susceptibility to Neonectria ditissima infection in New Zealand apple trees | Discussion/conclusion – dated experimental context
#5 S155:web:8 (0.702)Western flower thrips | Damage
[passage text omitted for copyright; see the chunk ids above and data/registers/source_register.json]</t>
        </is>
      </c>
      <c r="M16" t="inlineStr">
        <is>
          <t>✓</t>
        </is>
      </c>
      <c r="N16" t="inlineStr">
        <is>
          <t>NA</t>
        </is>
      </c>
      <c r="O16" t="inlineStr">
        <is>
          <t>✓</t>
        </is>
      </c>
      <c r="P16" t="inlineStr">
        <is>
          <t>✓</t>
        </is>
      </c>
      <c r="Q16" t="inlineStr">
        <is>
          <t>✓</t>
        </is>
      </c>
      <c r="R16" t="inlineStr">
        <is>
          <t>✓</t>
        </is>
      </c>
      <c r="S16" t="inlineStr">
        <is>
          <t>Passed</t>
        </is>
      </c>
      <c r="T16" t="inlineStr">
        <is>
          <t>Evidence and answer are broadly consistent; key symptoms, identification and management points are clear.</t>
        </is>
      </c>
      <c r="U16" t="inlineStr">
        <is>
          <t>Dongyang Chen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Question type</t>
        </is>
      </c>
      <c r="C1" s="2" t="inlineStr">
        <is>
          <t>Region</t>
        </is>
      </c>
      <c r="D1" s="2" t="inlineStr">
        <is>
          <t>Answerability</t>
        </is>
      </c>
      <c r="E1" s="2" t="inlineStr">
        <is>
          <t>Question</t>
        </is>
      </c>
      <c r="F1" s="2" t="inlineStr">
        <is>
          <t>Reference answer</t>
        </is>
      </c>
      <c r="G1" s="2" t="inlineStr">
        <is>
          <t>Required points</t>
        </is>
      </c>
      <c r="H1" s="2" t="inlineStr">
        <is>
          <t>Major errors</t>
        </is>
      </c>
      <c r="I1" s="2" t="inlineStr">
        <is>
          <t>Answerable / to decline</t>
        </is>
      </c>
      <c r="J1" s="2" t="inlineStr">
        <is>
          <t>Cited passages (text omitted)</t>
        </is>
      </c>
      <c r="K1" s="2" t="inlineStr">
        <is>
          <t>Original URL</t>
        </is>
      </c>
      <c r="L1" s="2" t="inlineStr">
        <is>
          <t>Other retrieved passages (text omitted)</t>
        </is>
      </c>
      <c r="M1" s="3" t="inlineStr">
        <is>
          <t>1 Facts correct</t>
        </is>
      </c>
      <c r="N1" s="3" t="inlineStr">
        <is>
          <t>2 Numbers and units</t>
        </is>
      </c>
      <c r="O1" s="3" t="inlineStr">
        <is>
          <t>3 Qualifications kept</t>
        </is>
      </c>
      <c r="P1" s="3" t="inlineStr">
        <is>
          <t>4 Not beyond the source</t>
        </is>
      </c>
      <c r="Q1" s="3" t="inlineStr">
        <is>
          <t>5 Required points sensible</t>
        </is>
      </c>
      <c r="R1" s="3" t="inlineStr">
        <is>
          <t>6 Question clear</t>
        </is>
      </c>
      <c r="S1" s="3" t="inlineStr">
        <is>
          <t>Review result</t>
        </is>
      </c>
      <c r="T1" s="3" t="inlineStr">
        <is>
          <t>Change notes</t>
        </is>
      </c>
      <c r="U1" s="3" t="inlineStr">
        <is>
          <t>Reviewer</t>
        </is>
      </c>
      <c r="V1" s="3" t="inlineStr">
        <is>
          <t>Time (minutes)</t>
        </is>
      </c>
    </row>
    <row r="2" ht="150" customHeight="1">
      <c r="A2" s="4" t="inlineStr">
        <is>
          <t>D002</t>
        </is>
      </c>
      <c r="B2" s="4" t="inlineStr">
        <is>
          <t>symptoms_identification</t>
        </is>
      </c>
      <c r="C2" s="4" t="inlineStr">
        <is>
          <t>unspecified</t>
        </is>
      </c>
      <c r="D2" s="4" t="inlineStr">
        <is>
          <t>answerable</t>
        </is>
      </c>
      <c r="E2" s="4" t="inlineStr">
        <is>
          <t>Some of my apples have a brown-black rotten spot with dark rings, and the rotten part stays firm. What is it and what should I do?</t>
        </is>
      </c>
      <c r="F2" s="4" t="inlineStr">
        <is>
          <t>The most likely cause is black rot (Botryosphaeria obtusa): usually one spot per fruit, often at the calyx end or a wound, with concentric dark and brown bands and firm, leathery flesh; the fruit later shrivels into a mummy. Bitter rot is the main look-alike: it tends to show several sunken spots, salmon-pink spore ooze, and a cone-shaped rot when cut, so cutting the fruit helps tell them apart. Management is mainly sanitation: prune out cankers and dead wood (Penn State: at least 15 inches below the canker), remove all mummified fruit, and keep trees healthy; captan and strobilurin (FRAC 11) fungicides are listed as effective on fruit.</t>
        </is>
      </c>
      <c r="G2" s="4" t="inlineStr">
        <is>
          <t>• identifies black rot as most likely
• distinguishes from bitter rot (one spot, not cone-shaped; bitter rot pink ooze, cone-shaped)
• sanitation: prune cankers/dead wood and remove mummified fruit
• fungicides mentioned only as support to sanitation, not as the main control</t>
        </is>
      </c>
      <c r="H2" s="4" t="inlineStr">
        <is>
          <t>• states a definitive diagnosis of bitter rot or apple scab
• confuses bitter rot with bitter pit
• recommends fungicides without sanitation</t>
        </is>
      </c>
      <c r="I2" s="4" t="inlineStr"/>
      <c r="J2" s="4" t="inlineStr">
        <is>
          <t>[S248:web:2 | Pome Fruit Disease - Black Rot and Frogeye Leaf Spot | Symptoms | United States - Pennsylvania | date June 26, 2024]
[S248:web:4 | Pome Fruit Disease - Black Rot and Frogeye Leaf Spot | Disease Management | United States - Pennsylvania | date June 26, 2024]
[S179:web:2 | Fact Sheet: Bitter Rot | What does bitter rot look like? | United States | date unknown]
[passage text omitted for copyright; see the chunk ids above and data/registers/source_register.json]</t>
        </is>
      </c>
      <c r="K2" s="5" t="inlineStr">
        <is>
          <t>https://extension.psu.edu/pome-fruit-disease-black-rot-and-frogeye-leaf-spot
https://blogs.cornell.edu/applevarietydatabase/fact-sheet-bitter-rot/</t>
        </is>
      </c>
      <c r="L2" s="4" t="inlineStr">
        <is>
          <t>Retrieval rank of cited passage: 6
#1 S001:web:1 (0.720)Apple Scab | Symptoms and Signs
#2 Pfad1d86df7e72095:p3:c1 (0.707)Apple Anthracnose | Apple anthracnose: symptoms, cycle and cultural management
#3 S212:web:2 (0.706)Apple Diseases - Fruit Rots, Control at Apple Harvest (and Postharvest) | Necrotic Leaf Blotch vs. Gomerella Leaf Spot
#4 S174:web:2 (0.704)Fact Sheet: Apple Scab | What does apple scab look like?
#5 S182:web:2 (0.704)Fact Sheet: Quince Rust | What does Quince Rust look like?
[passage text omitted for copyright; see the chunk ids above and data/registers/source_register.json]</t>
        </is>
      </c>
      <c r="M2" t="inlineStr">
        <is>
          <t>✓</t>
        </is>
      </c>
      <c r="N2" t="inlineStr">
        <is>
          <t>NA</t>
        </is>
      </c>
      <c r="O2" t="inlineStr">
        <is>
          <t>✓</t>
        </is>
      </c>
      <c r="P2" t="inlineStr">
        <is>
          <t>✓</t>
        </is>
      </c>
      <c r="Q2" t="inlineStr">
        <is>
          <t>✓</t>
        </is>
      </c>
      <c r="R2" t="inlineStr">
        <is>
          <t>✓</t>
        </is>
      </c>
      <c r="S2" t="inlineStr">
        <is>
          <t>Passed</t>
        </is>
      </c>
      <c r="T2" t="inlineStr">
        <is>
          <t>Evidence and answer are broadly consistent; key symptoms, identification and management points are clear.</t>
        </is>
      </c>
      <c r="U2" s="6" t="inlineStr">
        <is>
          <t>Dongyang Chen</t>
        </is>
      </c>
    </row>
    <row r="3" ht="150" customHeight="1">
      <c r="A3" s="4" t="inlineStr">
        <is>
          <t>D006</t>
        </is>
      </c>
      <c r="B3" s="4" t="inlineStr">
        <is>
          <t>symptoms_identification</t>
        </is>
      </c>
      <c r="C3" s="4" t="inlineStr">
        <is>
          <t>unspecified</t>
        </is>
      </c>
      <c r="D3" s="4" t="inlineStr">
        <is>
          <t>answerable</t>
        </is>
      </c>
      <c r="E3" s="4" t="inlineStr">
        <is>
          <t>Some blossom clusters and shoot tips on my Gala trees suddenly turned brown-black and bent over like a shepherd's crook. What could cause this and what should I do?</t>
        </is>
      </c>
      <c r="F3" s="4" t="inlineStr">
        <is>
          <t>This is the classic picture of fire blight (Erwinia amylovora): blossoms turn water-soaked, brown then black, shoot tips wilt into a shepherd's crook, dead leaves stay attached, and bacterial ooze may appear in humid weather. UC IPM notes Gala trees can be devastated. Bacterial blossom blast is a look-alike, but its infection usually stays at the base of the fruit cluster and bacterial ooze is never present with blast. Act promptly: cut out infected shoots well below the visible symptoms (New Zealand guidance: 45–60 cm below), disinfect pruning tools between every cut, and burn or bury the prunings; inspect the orchard frequently from bloom to midsummer, remove cankers during dormancy, and avoid lush growth from excess nitrogen. Blossom sprays (copper or antibiotics) are timed with infection-risk models; in New Zealand a fire blight model is available through Pipfruit NZ.</t>
        </is>
      </c>
      <c r="G3" s="4" t="inlineStr">
        <is>
          <t>• identifies fire blight (distinguishes blossom blast: no ooze, stays at cluster base)
• prompt removal of infected shoots well below symptoms (e.g. 45–60 cm) and destroying prunings
• disinfect pruning tools between cuts
• ongoing monitoring/canker removal; avoid excess vigour; blossom sprays timed with risk models</t>
        </is>
      </c>
      <c r="H3" s="4" t="inlineStr">
        <is>
          <t>• diagnoses a fungal disease and recommends only fungicides
• advises pruning without disinfecting tools
• advises leaving strikes until winter</t>
        </is>
      </c>
      <c r="I3" s="4" t="inlineStr"/>
      <c r="J3" s="4" t="inlineStr">
        <is>
          <t>[S002:web:1 | Fire Blight | Symptoms and Signs | United States - California | date Text Updated: 03/09; Treatment Table Updated: 10/15]
[S015:web:6 | Fire Blight of Apple and Pear | Shoot symptoms | United States - Pacific Northwest | date unknown]
[S265:web:1 | Fireblight | Damage | New Zealand | date unknown]
[S265:web:4 | Fireblight | Cultural control | New Zealand | date unknown]
[S265:web:5 | Fireblight | Cultural control | New Zealand | date unknown]
[S002:web:3 | Fire Blight | Management | United States - California | date Text Updated: 03/09; Treatment Table Updated: 10/15]
[S002:web:2 | Fire Blight | Comments on the Disease | United States - California | date Text Updated: 03/09; Treatment Table Updated: 10/15]
[S066:web:1 | Bacterial Blossom Blast | Symptoms and Signs | United States - California | date Text Updated: 03/09; Treatment Table Updated: 10/15]
[passage text omitted for copyright; see the chunk ids above and data/registers/source_register.json]</t>
        </is>
      </c>
      <c r="K3" s="5" t="inlineStr">
        <is>
          <t>https://ipm.ucanr.edu/agriculture/apple/fire-blight/
https://treefruit.wsu.edu/crop-protection/disease-management/fire-blight/
https://www.hortinfo.co.nz/textfiles/pdh219_59.htm
https://ipm.ucanr.edu/agriculture/apple/bacterial-blossom-blast/</t>
        </is>
      </c>
      <c r="L3" s="4" t="inlineStr">
        <is>
          <t>Retrieval rank of cited passage: 1
#1 S025:web:2 (0.688)Fact Sheet: Fire Blight | What does fire blight look like?
#2 S248:web:2 (0.687)Pome Fruit Disease - Black Rot and Frogeye Leaf Spot | Symptoms
[passage text omitted for copyright; see the chunk ids above and data/registers/source_register.json]</t>
        </is>
      </c>
      <c r="M3" t="inlineStr">
        <is>
          <t>✓</t>
        </is>
      </c>
      <c r="N3" t="inlineStr">
        <is>
          <t>NA</t>
        </is>
      </c>
      <c r="O3" t="inlineStr">
        <is>
          <t>✓</t>
        </is>
      </c>
      <c r="P3" t="inlineStr">
        <is>
          <t>✓</t>
        </is>
      </c>
      <c r="Q3" t="inlineStr">
        <is>
          <t>✓</t>
        </is>
      </c>
      <c r="R3" t="inlineStr">
        <is>
          <t>✓</t>
        </is>
      </c>
      <c r="S3" t="inlineStr">
        <is>
          <t>Passed</t>
        </is>
      </c>
      <c r="T3" t="inlineStr">
        <is>
          <t>Evidence and answer are broadly consistent; key symptoms, identification and management points are clear.</t>
        </is>
      </c>
      <c r="U3" s="6" t="inlineStr">
        <is>
          <t>Dongyang Chen</t>
        </is>
      </c>
    </row>
    <row r="4" ht="150" customHeight="1">
      <c r="A4" s="4" t="inlineStr">
        <is>
          <t>D008</t>
        </is>
      </c>
      <c r="B4" s="4" t="inlineStr">
        <is>
          <t>management_strategy</t>
        </is>
      </c>
      <c r="C4" s="4" t="inlineStr">
        <is>
          <t>unspecified</t>
        </is>
      </c>
      <c r="D4" s="4" t="inlineStr">
        <is>
          <t>answerable</t>
        </is>
      </c>
      <c r="E4" s="4" t="inlineStr">
        <is>
          <t>There are white fluffy cotton-like patches and lumpy swellings on the branches of my apple trees. What is it and how do I control it?</t>
        </is>
      </c>
      <c r="F4" s="4" t="inlineStr">
        <is>
          <t>This is woolly apple aphid: colonies covered in white wool-like wax on the bark, and galls (swellings) where they feed on twigs and roots; root colonies do the most damage and can stunt or kill young trees. Control relies first on natural enemies: the parasite Aphelinus mali can completely control aerial colonies, so avoid broad-spectrum sprays such as pyrethroids that kill it. A delayed-dormant application usually controls it, with summer treatment only if parasites are disrupted. For new plantings, resistant rootstocks (the Malling-Merton series such as MM.106 and MM.111, M.793, and several Geneva rootstocks) were developed to resist the aphid.</t>
        </is>
      </c>
      <c r="G4" s="4" t="inlineStr">
        <is>
          <t>• identifies woolly apple aphid (white waxy colonies, galls on wood/roots)
• conserve the parasite Aphelinus mali; avoid sprays toxic to natural enemies
• delayed-dormant treatment; summer spray only if biocontrol fails
• resistant rootstocks for new plantings</t>
        </is>
      </c>
      <c r="H4" s="4" t="inlineStr">
        <is>
          <t>• diagnoses powdery mildew or a scale disease
• recommends pyrethroids</t>
        </is>
      </c>
      <c r="I4" s="4" t="inlineStr"/>
      <c r="J4" s="4" t="inlineStr">
        <is>
          <t>[S012:web:1 | Woolly Apple Aphid | Description of the Pest | United States - California | date Text Updated: 01/11; Treatment Table Updated: 10/15]
[S020:web:6 | Woolly Apple Aphid | Damage | United States - Pacific Northwest | date by Elizabeth H. Beers, Stanley C. Hoyt, and Michael J. Willett, originally published 1993; revised March 2010 E. Beers; and June 2019 Robert J. Orpet.; revised March 2010]
[S012:web:5 | Woolly Apple Aphid | Biological Control | United States - California | date Text Updated: 01/11; Treatment Table Updated: 10/15]
[S012:web:7 | Woolly Apple Aphid | Treatment Decisions | United States - California | date Text Updated: 01/11; Treatment Table Updated: 10/15]
[S012:web:4 | Woolly Apple Aphid | Resistant Varieties/Rootstocks | United States - California | date Text Updated: 01/11; Treatment Table Updated: 10/15]
[passage text omitted for copyright; see the chunk ids above and data/registers/source_register.json]</t>
        </is>
      </c>
      <c r="K4" s="5" t="inlineStr">
        <is>
          <t>https://ipm.ucanr.edu/agriculture/apple/woolly-apple-aphid/
https://treefruit.wsu.edu/crop-protection/opm/woolly-apple-aphid/</t>
        </is>
      </c>
      <c r="L4" s="4" t="inlineStr">
        <is>
          <t>Retrieval rank of cited passage: 2
#1 S003:web:2 (0.753)Powdery Mildew | Comments on the Disease
#2 S185:web:2 (0.727)Fact Sheet: White Rot | What does White Rot look like?
#3 S001:web:1 (0.724)Apple Scab | Symptoms and Signs
#4 Pfad1d86df7e72095:p3:c1 (0.723)Apple Anthracnose | Apple anthracnose: symptoms, cycle and cultural management
#5 S250:web:2 (0.723)Pome Fruit Disease - Rust | Symptoms
[passage text omitted for copyright; see the chunk ids above and data/registers/source_register.json]</t>
        </is>
      </c>
      <c r="M4" t="inlineStr">
        <is>
          <t>✓</t>
        </is>
      </c>
      <c r="N4" t="inlineStr">
        <is>
          <t>NA</t>
        </is>
      </c>
      <c r="O4" t="inlineStr">
        <is>
          <t>✓</t>
        </is>
      </c>
      <c r="P4" t="inlineStr">
        <is>
          <t>✓</t>
        </is>
      </c>
      <c r="Q4" t="inlineStr">
        <is>
          <t>✓</t>
        </is>
      </c>
      <c r="R4" t="inlineStr">
        <is>
          <t>✓</t>
        </is>
      </c>
      <c r="S4" t="inlineStr">
        <is>
          <t>Passed</t>
        </is>
      </c>
      <c r="T4" t="inlineStr">
        <is>
          <t>Evidence and answer are broadly consistent; key symptoms, identification and management points are clear.</t>
        </is>
      </c>
      <c r="U4" s="6" t="inlineStr">
        <is>
          <t>Dongyang Chen</t>
        </is>
      </c>
    </row>
    <row r="5" ht="150" customHeight="1">
      <c r="A5" s="4" t="inlineStr">
        <is>
          <t>D011</t>
        </is>
      </c>
      <c r="B5" s="4" t="inlineStr">
        <is>
          <t>postharvest</t>
        </is>
      </c>
      <c r="C5" s="4" t="inlineStr">
        <is>
          <t>unspecified</t>
        </is>
      </c>
      <c r="D5" s="4" t="inlineStr">
        <is>
          <t>answerable</t>
        </is>
      </c>
      <c r="E5" s="4" t="inlineStr">
        <is>
          <t>Apples in storage have grey fuzzy mould starting at the stem, and it is spreading to the apples touching them. What should I do?</t>
        </is>
      </c>
      <c r="F5" s="4" t="inlineStr">
        <is>
          <t>This is gray mold (Botrytis): a brown, spongy to firm decay that often starts at the stem or calyx, later covered with fluffy white-grey mould, and that spreads from fruit to fruit (nesting) in storage, especially under high humidity. Most infections actually start in the orchard (at bloom or during the season) and stay latent until storage. To reduce it next season: remove decayed and mummified fruit and debris from the orchard, handle fruit to avoid punctures and bruises, harvest split-prone cultivars such as Gala and Honeycrisp at the right maturity, clip stems where needed, use clean bins, keep fruit cool after harvest, and ensure good fungicide coverage at harvest where it is used.</t>
        </is>
      </c>
      <c r="G5" s="4" t="inlineStr">
        <is>
          <t>• identifies gray mold
• fruit-to-fruit (nesting) spread in storage
• infections often begin in the orchard and stay latent
• orchard sanitation and careful harvest/handling to reduce wounds and splits</t>
        </is>
      </c>
      <c r="H5" s="4" t="inlineStr">
        <is>
          <t>• identifies it as blue mold
• states it does not spread between fruit</t>
        </is>
      </c>
      <c r="I5" s="4" t="inlineStr"/>
      <c r="J5" s="4" t="inlineStr">
        <is>
          <t>[S018:web:3 | Gray Mold | Symptoms | United States - Pacific Northwest | date 2020-04]
[S018:web:10 | Gray Mold | Infection and Life Cycle of the Organism | United States - Pacific Northwest | date 2020-04]
[S018:web:11 | Gray Mold | Cultural Controls | United States - Pacific Northwest | date 2020-04]
[Pac2f744e6d94a879:p34:c1 | Crop Profile for Apple in Canada, 2022 (Sixth Edition, 2023) | Post-Harvest Diseases: Blue Mold (Penicillium expansum and other
[S212:web:4 | Apple Diseases - Fruit Rots, Control at Apple Harvest (and Postharvest) | Minimizing Postharvest Fruit Rots | United States - Pennsylvania | date June 29, 2026]
[passage text omitted for copyright; see the chunk ids above and data/registers/source_register.json]</t>
        </is>
      </c>
      <c r="K5" s="5" t="inlineStr">
        <is>
          <t>https://treefruit.wsu.edu/crop-protection/disease-management/gray-mold/
https://publications.gc.ca/collections/collection_2023/aac-aafc/A118-10-7-2022-eng.pdf
https://extension.psu.edu/apple-diseases-fruit-rots-control-at-apple-harvest-and-postharvest</t>
        </is>
      </c>
      <c r="L5" s="4" t="inlineStr">
        <is>
          <t>Retrieval rank of cited passage: 2
#1 S018:web:1 (0.764)Gray Mold | Overview
#2 P32845825ad7b835f:p1:c1 (0.743)Gray Mold | Gray Mold: overview and symptoms
#3 S018:web:4 (0.724)Gray Mold | Figure 1. Symptoms and signs of gray mold (Botrytis cinerea) on apples and pears. Photo credit: Achour Amiri (WSU-TFREC) and Chang-Lin Xiao (USDA-ARS).
#4 P32845825ad7b835f:p1:c2 (0.720)Gray Mold | Gray Mold: overview and symptoms
[passage text omitted for copyright; see the chunk ids above and data/registers/source_register.json]</t>
        </is>
      </c>
      <c r="M5" t="inlineStr">
        <is>
          <t>✓</t>
        </is>
      </c>
      <c r="N5" t="inlineStr">
        <is>
          <t>NA</t>
        </is>
      </c>
      <c r="O5" t="inlineStr">
        <is>
          <t>✓</t>
        </is>
      </c>
      <c r="P5" t="inlineStr">
        <is>
          <t>✓</t>
        </is>
      </c>
      <c r="Q5" t="inlineStr">
        <is>
          <t>✓</t>
        </is>
      </c>
      <c r="R5" t="inlineStr">
        <is>
          <t>✓</t>
        </is>
      </c>
      <c r="S5" t="inlineStr">
        <is>
          <t>Passed</t>
        </is>
      </c>
      <c r="T5" t="inlineStr">
        <is>
          <t>Evidence and answer are broadly consistent; key symptoms, identification and management points are clear.</t>
        </is>
      </c>
      <c r="U5" s="6" t="inlineStr">
        <is>
          <t>Dongyang Chen</t>
        </is>
      </c>
    </row>
    <row r="6" ht="150" customHeight="1">
      <c r="A6" s="4" t="inlineStr">
        <is>
          <t>D015</t>
        </is>
      </c>
      <c r="B6" s="4" t="inlineStr">
        <is>
          <t>postharvest</t>
        </is>
      </c>
      <c r="C6" s="4" t="inlineStr">
        <is>
          <t>unspecified</t>
        </is>
      </c>
      <c r="D6" s="4" t="inlineStr">
        <is>
          <t>answerable</t>
        </is>
      </c>
      <c r="E6" s="4" t="inlineStr">
        <is>
          <t>During a wet harvest our bins sat on the orchard floor. Now apples in cold storage are going soft and watery and rotting very fast, and the postharvest fungicide we used did not help. What is going on?</t>
        </is>
      </c>
      <c r="F6" s="4" t="inlineStr">
        <is>
          <t>The details point to Mucor rot, with blue mold as the main alternative. Mucor piriformis lives in orchard soil and debris, and infections occur mainly when bins contact infested soil or are not cleaned; fruit harvested in wet weather is more susceptible; and none of the current pre- or postharvest fungicides are effective against it, which fits your experience. Mucor rot decays fruit very fast even in cold storage (complete decay in under two months at 0°C); the tissue is very soft and juicy, has a sweet smell, and may show coarse white-grey mould with dark pinhead spore heads. Blue mold is medium-soft and watery, starts at wounds or bruises, has a musty smell and blue-green spores, and leaves a bowl-like cavity. Prevention: Mucor comes from orchard soil and dirty bins, and current fungicides do not control it, so remove fallen fruit and debris, position bins to minimise soil contamination of their undersides and brush the undersides clean, never put dropped fruit in bins, sanitise bins, rooms and packing lines, and harvest in dry weather. Blue mold is reduced by careful handling to avoid wounds and by sanitising rooms, bins and packing lines.</t>
        </is>
      </c>
      <c r="G6" s="4" t="inlineStr">
        <is>
          <t>• identifies Mucor rot as most likely, linking bins on soil, wet harvest and fungicide failure
• distinguishes from blue mold (sweet vs musty smell, texture, spores)
• Mucor rots fast even at 0°C and is not controlled by current fungicides
• sanitation of bins, rooms and packing line; minimise soil on bin undersides; do not put dropped fruit in bins
• minimise wounds and bruising at harvest</t>
        </is>
      </c>
      <c r="H6" s="4" t="inlineStr">
        <is>
          <t>• says lowering storage temperature alone will stop it
• recommends a postharvest fungicide as the solution for Mucor</t>
        </is>
      </c>
      <c r="I6" s="4" t="inlineStr"/>
      <c r="J6" s="4" t="inlineStr">
        <is>
          <t>[S074:web:3 | Mucor Rot | Symptoms | United States - Pacific Northwest | date By Achour Amiri and Keith van den Broek, WSU Plant Pathology. Updated February 2020. Downloadable pdf Mucor; Updated February 2020]
[S074:web:10 | Mucor Rot | Infection and Disease Cycle | United States - Pacific Northwest | date By Achour Amiri and Keith van den Broek, WSU Plant Pathology. Updated February 2020. Downloadable pdf Mucor; Updated February 2020]
[S074:web:11 | Mucor Rot | Controls | United States - Pacific Northwest | date By Achour Amiri and Keith van den Broek, WSU Plant Pathology. Updated February 2020. Downloadable pdf Mucor; Updated February 2020]
[S017:web:3 | Blue Mold | Symptoms | United States - Pacific Northwest | date 2020-04]
[S017:web:11 | Blue Mold | Cultural Controls | United States - Pacific Northwest | date 2020-04]
[S180:web:1 | Fact Sheet: Blue Mold | What is blue mold? | United States | date unknown]
[passage text omitted for copyright; see the chunk ids above and data/registers/source_register.json]</t>
        </is>
      </c>
      <c r="K6" s="5" t="inlineStr">
        <is>
          <t>https://treefruit.wsu.edu/crop-protection/disease-management/mucor-rot/
https://treefruit.wsu.edu/crop-protection/disease-management/blue-mold/
https://blogs.cornell.edu/applevarietydatabase/fact-sheet-blue-mold/</t>
        </is>
      </c>
      <c r="L6" s="4" t="inlineStr">
        <is>
          <t>cited passage not in the top 6
#1 P1238bed29496c60c:p7:c3 (0.808)The incidence of storage rots after postharvest apple washing | Discussion/conclusion – dated experimental context
#2 P1238bed29496c60c:p1:c1 (0.806)The incidence of storage rots after postharvest apple washing | Abstract – dated research findings
#3 P1238bed29496c60c:p1:c2 (0.799)The incidence of storage rots after postharvest apple washing | Abstract – dated research findings
#4 P1238bed29496c60c:p7:c1 (0.797)The incidence of storage rots after postharvest apple washing | Discussion/conclusion – dated experimental context
#5 P1238bed29496c60c:p7:c2 (0.789)The incidence of storage rots after postharvest apple washing | Discussion/conclusion – dated experimental context
#6 S208:web:4 (0.772)Apple Disease - Core Rot | Disease Management
[passage text omitted for copyright; see the chunk ids above and data/registers/source_register.json]</t>
        </is>
      </c>
      <c r="M6" t="inlineStr">
        <is>
          <t>✓</t>
        </is>
      </c>
      <c r="N6" t="inlineStr">
        <is>
          <t>NA</t>
        </is>
      </c>
      <c r="O6" t="inlineStr">
        <is>
          <t>✓</t>
        </is>
      </c>
      <c r="P6" t="inlineStr">
        <is>
          <t>✓</t>
        </is>
      </c>
      <c r="Q6" t="inlineStr">
        <is>
          <t>✓</t>
        </is>
      </c>
      <c r="R6" t="inlineStr">
        <is>
          <t>✓</t>
        </is>
      </c>
      <c r="S6" t="inlineStr">
        <is>
          <t>Passed</t>
        </is>
      </c>
      <c r="T6" t="inlineStr">
        <is>
          <t>Evidence and answer are broadly consistent; key symptoms, identification and management points are clear.</t>
        </is>
      </c>
      <c r="U6" s="6" t="inlineStr">
        <is>
          <t>Dongyang Chen</t>
        </is>
      </c>
    </row>
    <row r="7" ht="150" customHeight="1">
      <c r="A7" s="4" t="inlineStr">
        <is>
          <t>D018</t>
        </is>
      </c>
      <c r="B7" s="4" t="inlineStr">
        <is>
          <t>boundary_insufficient</t>
        </is>
      </c>
      <c r="C7" s="4" t="inlineStr">
        <is>
          <t>New Zealand</t>
        </is>
      </c>
      <c r="D7" s="4" t="inlineStr">
        <is>
          <t>partial</t>
        </is>
      </c>
      <c r="E7" s="4" t="inlineStr">
        <is>
          <t>I'm planting a new apple block in New Zealand. Which rootstock should I use to avoid woolly aphid?</t>
        </is>
      </c>
      <c r="F7" s="4" t="inlineStr">
        <is>
          <t>The evidence has no New Zealand rootstock trials or recommendations for woolly apple aphid. Overseas sources report resistant rootstocks: the Malling-Merton series (MM.106, MM.111), the Merton 793 selection, which WSU notes is commonly used in the southern hemisphere, and several Geneva rootstocks (e.g. G.41, G.202, G.969), which WSU says appear more resistant than the Malling-Merton series. WSU also cautions that resistant rootstocks mainly protect the roots and their effect on aerial colonies is unknown. Rootstock choice also affects other diseases (e.g. MM.106 is more susceptible to Phytophthora). These points should be attributed to overseas sources, not presented as New Zealand-verified advice.</t>
        </is>
      </c>
      <c r="G7" s="4" t="inlineStr">
        <is>
          <t>• does not claim the rootstock advice is verified for New Zealand (suggests checking locally)
• names resistant rootstocks (MM.106, MM.111, M.793, Geneva series)
• notes resistance protects roots; effect on aerial colonies uncertain
• does not present overseas advice as NZ-verified</t>
        </is>
      </c>
      <c r="H7" s="4" t="inlineStr">
        <is>
          <t>• presents overseas rootstocks as an NZ-verified recommendation
• claims resistant rootstocks prevent aerial colonies
• names a rootstock known to be susceptible as resistant</t>
        </is>
      </c>
      <c r="I7" s="4" t="inlineStr">
        <is>
          <t>Answerable: overseas resistant rootstocks and their uncertainty; qualify: not validated in New Zealand; reason: the corpus has no New Zealand rootstock trial</t>
        </is>
      </c>
      <c r="J7" s="4" t="inlineStr">
        <is>
          <t>[S020:web:6 | Woolly Apple Aphid | Damage | United States - Pacific Northwest | date by Elizabeth H. Beers, Stanley C. Hoyt, and Michael J. Willett, originally published 1993; revised March 2010 E. Beers; and June 2019 Robert J. Orpet.; revised March 2010]
[S020:web:10 | Woolly Apple Aphid | Management | United States - Pacific Northwest | date by Elizabeth H. Beers, Stanley C. Hoyt, and Michael J. Willett, originally published 1993; revised March 2010 E. Beers; and June 2019 Robert J. Orpet.; revised March 2010]
[S012:web:4 | Woolly Apple Aphid | Resistant Varieties/Rootstocks | United States - California | date Text Updated: 01/11; Treatment Table Updated: 10/15]
[S244:web:6 | Tree Fruit Insect Pest - Woolly Apple Aphid | Cultural Control | United States - Pennsylvania | date January 5, 2024]
[S005:web:2 | Phytophthora Root and Crown Rot | Management | United States - California | date Text Updated: 03/09; Treatment Table Updated: 10/15]
[passage text omitted for copyright; see the chunk ids above and data/registers/source_register.json]</t>
        </is>
      </c>
      <c r="K7" s="5" t="inlineStr">
        <is>
          <t>https://treefruit.wsu.edu/crop-protection/opm/woolly-apple-aphid/
https://ipm.ucanr.edu/agriculture/apple/woolly-apple-aphid/
https://extension.psu.edu/tree-fruit-insect-pest-woolly-apple-aphid
https://ipm.ucanr.edu/agriculture/apple/phytophthora-root-and-crown-rot/</t>
        </is>
      </c>
      <c r="L7" s="4" t="inlineStr">
        <is>
          <t>Retrieval rank of cited passage: 1
#1 S015:web:10 (0.751)Fire Blight of Apple and Pear | Plant on resistant rootstock
#2 Pc857494577bd34fb:p5:c2 (0.746)Apple IPM for Beginners | Introduction
#3 S244:web:1 (0.743)Tree Fruit Insect Pest - Woolly Apple Aphid | Overview
[passage text omitted for copyright; see the chunk ids above and data/registers/source_register.json]</t>
        </is>
      </c>
      <c r="M7" t="inlineStr">
        <is>
          <t>✓</t>
        </is>
      </c>
      <c r="N7" t="inlineStr">
        <is>
          <t>NA</t>
        </is>
      </c>
      <c r="O7" t="inlineStr">
        <is>
          <t>✗</t>
        </is>
      </c>
      <c r="P7" t="inlineStr">
        <is>
          <t>✓</t>
        </is>
      </c>
      <c r="Q7" t="inlineStr">
        <is>
          <t>✓</t>
        </is>
      </c>
      <c r="R7" t="inlineStr">
        <is>
          <t>✓</t>
        </is>
      </c>
      <c r="S7" t="inlineStr">
        <is>
          <t>Passed after modification</t>
        </is>
      </c>
      <c r="T7" t="inlineStr">
        <is>
          <t>State that the rootstock aphid-resistance material comes from overseas research and that rootstock choice still needs checking with local nurseries and for local suitability. Re-check whether the original corpus contains material for the part to decline; the current excerpts do not prove that the whole corpus lacks such evidence.</t>
        </is>
      </c>
      <c r="U7" s="6" t="inlineStr">
        <is>
          <t>Dongyang Chen</t>
        </is>
      </c>
    </row>
    <row r="8" ht="150" customHeight="1">
      <c r="A8" s="4" t="inlineStr">
        <is>
          <t>D020</t>
        </is>
      </c>
      <c r="B8" s="4" t="inlineStr">
        <is>
          <t>symptoms_identification</t>
        </is>
      </c>
      <c r="C8" s="4" t="inlineStr">
        <is>
          <t>unspecified</t>
        </is>
      </c>
      <c r="D8" s="4" t="inlineStr">
        <is>
          <t>answerable</t>
        </is>
      </c>
      <c r="E8" s="4" t="inlineStr">
        <is>
          <t>Some young apples have purplish raised patches near the bottom end and are growing misshapen, and when I cut them the inside is brown and spongy right to the core. What is this?</t>
        </is>
      </c>
      <c r="F8" s="4" t="inlineStr">
        <is>
          <t>This matches quince rust (Gymnosporangium clavipes): purple raised lesions on the side or calyx end of young fruit, which grow into a dark green-purple distortion, with spongy brown rust tissue reaching the core; infected fruitlets may drop, and rust-coloured spore tubes can appear near the calyx. Cedar-apple rust is the main look-alike, but its fruit lesions are superficial and it also spots the leaves, while quince rust infects only the fruit and reaches the core. Quince rust needs a juniper/red cedar alternate host, so check for nearby junipers or cedars (and hawthorn or quince). Infection happens in spring between tight cluster and petal fall during wet periods over 48 hours above about 10°C (50°F). Once lesions are visible it is too late to control them this season; for the future remove alternate hosts nearby. Penn State spray guidance (mancozeb and FRAC 3 from pink bud) is written for cedar-apple rust; because quince rust infects from tight cluster, the evidence does not give a specific quince-rust spray timing. Cultivar resistance differs between rust species (McIntosh resists cedar-apple rust but not quince rust).</t>
        </is>
      </c>
      <c r="G8" s="4" t="inlineStr">
        <is>
          <t>• identifies quince rust
• distinguishes from cedar-apple rust (superficial fruit lesions, leaf spots) vs quince rust reaching the core
• alternate host juniper/red cedar: check and remove nearby hosts
• too late once lesions appear; infection window is tight cluster to petal fall in long wet periods; does not present cedar-apple rust spray timing as quince-rust advice</t>
        </is>
      </c>
      <c r="H8" s="4" t="inlineStr">
        <is>
          <t>• diagnoses a storage rot or codling moth
• recommends spraying now to cure visible lesions
• presents the cedar-apple rust pink-bud spray schedule as quince-rust advice</t>
        </is>
      </c>
      <c r="I8" s="4" t="inlineStr"/>
      <c r="J8" s="4" t="inlineStr">
        <is>
          <t>[S182:web:1 | Fact Sheet: Quince Rust | What is Quince Rust? | United States | date unknown]
[S182:web:2 | Fact Sheet: Quince Rust | What does Quince Rust look like? | United States | date unknown]
[S182:web:3 | Fact Sheet: Quince Rust | Where does Quince Rust come from? | United States | date unknown]
[S182:web:4 | Fact Sheet: Quince Rust | How do I prevent and control Quince Rust? | United States | date unknown]
[S250:web:2 | Pome Fruit Disease - Rust | Symptoms | United States - Pennsylvania | date June 26, 2024]
[S250:web:3 | Pome Fruit Disease - Rust | Disease cycle | United States - Pennsylvania | date June 26, 2024]
[S250:web:4 | Pome Fruit Disease - Rust | Disease management | United States - Pennsylvania | date June 26, 2024]
[passage text omitted for copyright; see the chunk ids above and data/registers/source_register.json]</t>
        </is>
      </c>
      <c r="K8" s="5" t="inlineStr">
        <is>
          <t>https://blogs.cornell.edu/applevarietydatabase/fact-sheet-quince-rust/
https://extension.psu.edu/pome-fruit-disease-rust</t>
        </is>
      </c>
      <c r="L8" s="4" t="inlineStr">
        <is>
          <t>Retrieval rank of cited passage: 5
#1 S001:web:1 (0.779)Apple Scab | Symptoms and Signs
#2 S174:web:2 (0.767)Fact Sheet: Apple Scab | What does apple scab look like?
#3 S208:web:2 (0.753)Apple Disease - Core Rot | Symptoms
#4 S211:web:2 (0.751)Apple Disease: Moldy Core | Symptoms
#5 S211:web:1 (0.740)Apple Disease: Moldy Core | Overview
[passage text omitted for copyright; see the chunk ids above and data/registers/source_register.json]</t>
        </is>
      </c>
      <c r="M8" t="inlineStr">
        <is>
          <t>✓</t>
        </is>
      </c>
      <c r="N8" t="inlineStr">
        <is>
          <t>NA</t>
        </is>
      </c>
      <c r="O8" t="inlineStr">
        <is>
          <t>✓</t>
        </is>
      </c>
      <c r="P8" t="inlineStr">
        <is>
          <t>✓</t>
        </is>
      </c>
      <c r="Q8" t="inlineStr">
        <is>
          <t>✓</t>
        </is>
      </c>
      <c r="R8" t="inlineStr">
        <is>
          <t>✓</t>
        </is>
      </c>
      <c r="S8" t="inlineStr">
        <is>
          <t>Passed</t>
        </is>
      </c>
      <c r="T8" t="inlineStr">
        <is>
          <t>Evidence and answer are broadly consistent; key symptoms, identification and management points are clear.</t>
        </is>
      </c>
      <c r="U8" s="6" t="inlineStr">
        <is>
          <t>Dongyang Chen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0" customWidth="1" min="1" max="1"/>
  </cols>
  <sheetData>
    <row r="1">
      <c r="A1" t="inlineStr">
        <is>
          <t>Reviewer</t>
        </is>
      </c>
      <c r="B1" t="inlineStr">
        <is>
          <t>Dongyang Chen</t>
        </is>
      </c>
    </row>
    <row r="2"/>
    <row r="3">
      <c r="A3" t="inlineStr">
        <is>
          <t>Test set questions</t>
        </is>
      </c>
      <c r="B3" t="n">
        <v>15</v>
      </c>
    </row>
    <row r="4">
      <c r="A4" t="inlineStr">
        <is>
          <t>Test set passed</t>
        </is>
      </c>
      <c r="B4">
        <f>COUNTIF('Test set review'!S2:S16,"Passed")</f>
        <v/>
      </c>
    </row>
    <row r="5">
      <c r="A5" t="inlineStr">
        <is>
          <t>Test set passed after modification</t>
        </is>
      </c>
      <c r="B5">
        <f>COUNTIF('Test set review'!S2:S16,"Passed after modification")</f>
        <v/>
      </c>
    </row>
    <row r="6">
      <c r="A6" t="inlineStr">
        <is>
          <t>Test set rejected</t>
        </is>
      </c>
      <c r="B6">
        <f>COUNTIF('Test set review'!S2:S16,"Rejected")</f>
        <v/>
      </c>
    </row>
    <row r="7"/>
    <row r="8">
      <c r="A8" t="inlineStr">
        <is>
          <t>Development set questions</t>
        </is>
      </c>
      <c r="B8" t="n">
        <v>7</v>
      </c>
    </row>
    <row r="9">
      <c r="A9" t="inlineStr">
        <is>
          <t>Development set passed</t>
        </is>
      </c>
      <c r="B9">
        <f>COUNTIF('Development set review'!S2:S8,"Passed")</f>
        <v/>
      </c>
    </row>
    <row r="10">
      <c r="A10" t="inlineStr">
        <is>
          <t>Development set passed after modification</t>
        </is>
      </c>
      <c r="B10">
        <f>COUNTIF('Development set review'!S2:S8,"Passed after modification")</f>
        <v/>
      </c>
    </row>
    <row r="11">
      <c r="A11" t="inlineStr">
        <is>
          <t>Development set rejected</t>
        </is>
      </c>
      <c r="B11">
        <f>COUNTIF('Development set review'!S2:S8,"Rejected")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2026-10-23T03:38:13Z</dcterms:created>
  <dcterms:modified xmlns:dcterms="http://purl.org/dc/terms/" xmlns:xsi="http://www.w3.org/2001/XMLSchema-instance" xsi:type="dcterms:W3CDTF">2026-10-30T01:37:46Z</dcterms:modified>
</cp:coreProperties>
</file>